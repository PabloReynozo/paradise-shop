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cuments\Paradise Shop.cl\"/>
    </mc:Choice>
  </mc:AlternateContent>
  <xr:revisionPtr revIDLastSave="0" documentId="13_ncr:1_{0580512F-5FEC-4DE0-8C7D-C01C0581219E}" xr6:coauthVersionLast="47" xr6:coauthVersionMax="47" xr10:uidLastSave="{00000000-0000-0000-0000-000000000000}"/>
  <bookViews>
    <workbookView xWindow="23880" yWindow="-120" windowWidth="24240" windowHeight="13140" xr2:uid="{00000000-000D-0000-FFFF-FFFF00000000}"/>
  </bookViews>
  <sheets>
    <sheet name="Precios TEE.CL vs Paradise Sho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B11" i="1"/>
  <c r="D10" i="1"/>
  <c r="E10" i="1" s="1"/>
  <c r="F10" i="1" s="1"/>
  <c r="D9" i="1"/>
  <c r="E9" i="1" s="1"/>
  <c r="F9" i="1" s="1"/>
  <c r="E8" i="1"/>
  <c r="F8" i="1" s="1"/>
  <c r="D8" i="1"/>
  <c r="D7" i="1"/>
  <c r="E7" i="1" s="1"/>
  <c r="F7" i="1" s="1"/>
  <c r="D6" i="1"/>
  <c r="E6" i="1" s="1"/>
  <c r="F6" i="1" s="1"/>
  <c r="D5" i="1"/>
  <c r="E5" i="1" s="1"/>
  <c r="E11" i="1" l="1"/>
  <c r="F5" i="1"/>
  <c r="F11" i="1" s="1"/>
  <c r="D11" i="1"/>
</calcChain>
</file>

<file path=xl/sharedStrings.xml><?xml version="1.0" encoding="utf-8"?>
<sst xmlns="http://schemas.openxmlformats.org/spreadsheetml/2006/main" count="28" uniqueCount="28">
  <si>
    <t>PARADISE SHOP.CL - ESTRATEGIA DE PRECIOS Y MÁRGENES (CATÁLOGO TEE.CL)</t>
  </si>
  <si>
    <t>Moneda: Pesos Chilenos (CLP) | Despacho Fijo Cliente: $4.000 CLP | Pasarela &amp; Plataforma: ~4.5%</t>
  </si>
  <si>
    <t>Producto / Categoria</t>
  </si>
  <si>
    <t>Costo Base (TEE.CL)</t>
  </si>
  <si>
    <t>Precio Venta Publico</t>
  </si>
  <si>
    <t>Comision Pasarela (~4.5%)</t>
  </si>
  <si>
    <t>Ganancia Liquida</t>
  </si>
  <si>
    <t>Margen Bruto (%)</t>
  </si>
  <si>
    <t>Estado / Sugerencia</t>
  </si>
  <si>
    <t>Gorro / Jockey</t>
  </si>
  <si>
    <t>Recomendado - Excelente salida</t>
  </si>
  <si>
    <t>Polera Estándar / Hombre</t>
  </si>
  <si>
    <t>Recomendado - Ganancia sólida</t>
  </si>
  <si>
    <t>Polera Mujer Cuello Redondo</t>
  </si>
  <si>
    <t>Recomendado - Calce femenino</t>
  </si>
  <si>
    <t>Polera Polo Cuello Redondo</t>
  </si>
  <si>
    <t>Recomendado - Algodón premium</t>
  </si>
  <si>
    <t>Polerón / Prenda Intermedia</t>
  </si>
  <si>
    <t>Recomendado - Gran margen</t>
  </si>
  <si>
    <t>Polerón Canguro Premium</t>
  </si>
  <si>
    <t>Recomendado - Alta gama</t>
  </si>
  <si>
    <t>PROMEDIO CATÁLOGO</t>
  </si>
  <si>
    <t>Margen Promedio ~34%</t>
  </si>
  <si>
    <t>NOTAS DE OPERACIÓN EN CHILE</t>
  </si>
  <si>
    <t>1. Costos Base provienen directamente del catálogo de insumos / impresión TEE.CL.</t>
  </si>
  <si>
    <t>2. El costo de despacho ($4.000 CLP) es pagado por el cliente final en el checkout de Shopify.</t>
  </si>
  <si>
    <t>3. La comisión aproximada del 4.5% cubre la tarifa de la pasarela (Mercado Pago) y la plataforma.</t>
  </si>
  <si>
    <t>4. La ganancia líquida es el valor neto que ingresa a tu cuenta bancaria por cada prenda vendida.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</si>
</sst>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1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E0E0E0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sz val="11"/>
      <color rgb="FF595959"/>
      <name val="Calibri"/>
    </font>
    <font>
      <b/>
      <sz val="11"/>
      <color rgb="FF1F497D"/>
      <name val="Calibri"/>
    </font>
    <font>
      <b/>
      <sz val="11"/>
      <color rgb="FF276A3C"/>
      <name val="Calibri"/>
    </font>
    <font>
      <i/>
      <sz val="10"/>
      <name val="Calibri"/>
    </font>
    <font>
      <sz val="10"/>
      <color rgb="FF333333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2F5597"/>
        <bgColor rgb="FF2F5597"/>
      </patternFill>
    </fill>
    <fill>
      <patternFill patternType="solid">
        <fgColor rgb="FFF2F5F9"/>
        <bgColor rgb="FFF2F5F9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F497D"/>
      </top>
      <bottom style="double">
        <color rgb="FF1F497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165" fontId="8" fillId="0" borderId="1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6" fillId="4" borderId="1" xfId="0" applyNumberFormat="1" applyFont="1" applyFill="1" applyBorder="1" applyAlignment="1">
      <alignment horizontal="righ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8" fillId="4" borderId="1" xfId="0" applyNumberFormat="1" applyFont="1" applyFill="1" applyBorder="1" applyAlignment="1">
      <alignment horizontal="right" vertical="center"/>
    </xf>
    <xf numFmtId="0" fontId="9" fillId="4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164" fontId="5" fillId="5" borderId="2" xfId="0" applyNumberFormat="1" applyFont="1" applyFill="1" applyBorder="1" applyAlignment="1">
      <alignment horizontal="right" vertical="center"/>
    </xf>
    <xf numFmtId="165" fontId="5" fillId="5" borderId="2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center" vertical="center"/>
    </xf>
    <xf numFmtId="0" fontId="10" fillId="0" borderId="0" xfId="0" applyFont="1"/>
    <xf numFmtId="0" fontId="0" fillId="0" borderId="0" xfId="0"/>
    <xf numFmtId="0" fontId="7" fillId="0" borderId="0" xfId="0" applyFon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C5" sqref="C5"/>
    </sheetView>
  </sheetViews>
  <sheetFormatPr baseColWidth="10" defaultColWidth="9.140625" defaultRowHeight="15"/>
  <cols>
    <col min="1" max="1" width="30" customWidth="1"/>
    <col min="2" max="2" width="24" customWidth="1"/>
    <col min="3" max="3" width="25" customWidth="1"/>
    <col min="4" max="4" width="30" customWidth="1"/>
    <col min="5" max="6" width="21" customWidth="1"/>
    <col min="7" max="7" width="32" customWidth="1"/>
  </cols>
  <sheetData>
    <row r="1" spans="1:7" ht="30" customHeight="1">
      <c r="A1" s="23" t="s">
        <v>0</v>
      </c>
      <c r="B1" s="21"/>
      <c r="C1" s="21"/>
      <c r="D1" s="21"/>
      <c r="E1" s="21"/>
      <c r="F1" s="21"/>
      <c r="G1" s="21"/>
    </row>
    <row r="2" spans="1:7" ht="20.100000000000001" customHeight="1">
      <c r="A2" s="24" t="s">
        <v>1</v>
      </c>
      <c r="B2" s="21"/>
      <c r="C2" s="21"/>
      <c r="D2" s="21"/>
      <c r="E2" s="21"/>
      <c r="F2" s="21"/>
      <c r="G2" s="21"/>
    </row>
    <row r="4" spans="1:7" ht="24.9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21.95" customHeight="1">
      <c r="A5" s="2" t="s">
        <v>9</v>
      </c>
      <c r="B5" s="3">
        <v>11990</v>
      </c>
      <c r="C5" s="4">
        <v>19990</v>
      </c>
      <c r="D5" s="5">
        <f t="shared" ref="D5:D10" si="0">C5*0.045</f>
        <v>899.55</v>
      </c>
      <c r="E5" s="6">
        <f t="shared" ref="E5:E10" si="1">C5-B5-D5</f>
        <v>7100.45</v>
      </c>
      <c r="F5" s="7">
        <f t="shared" ref="F5:F10" si="2">E5/C5</f>
        <v>0.355200100050025</v>
      </c>
      <c r="G5" s="8" t="s">
        <v>10</v>
      </c>
    </row>
    <row r="6" spans="1:7" ht="21.95" customHeight="1">
      <c r="A6" s="9" t="s">
        <v>11</v>
      </c>
      <c r="B6" s="10">
        <v>9990</v>
      </c>
      <c r="C6" s="11">
        <v>17990</v>
      </c>
      <c r="D6" s="12">
        <f t="shared" si="0"/>
        <v>809.55</v>
      </c>
      <c r="E6" s="13">
        <f t="shared" si="1"/>
        <v>7190.45</v>
      </c>
      <c r="F6" s="14">
        <f t="shared" si="2"/>
        <v>0.39969149527515285</v>
      </c>
      <c r="G6" s="15" t="s">
        <v>12</v>
      </c>
    </row>
    <row r="7" spans="1:7" ht="21.95" customHeight="1">
      <c r="A7" s="2" t="s">
        <v>13</v>
      </c>
      <c r="B7" s="3">
        <v>17490</v>
      </c>
      <c r="C7" s="4">
        <v>27990</v>
      </c>
      <c r="D7" s="5">
        <f t="shared" si="0"/>
        <v>1259.55</v>
      </c>
      <c r="E7" s="6">
        <f t="shared" si="1"/>
        <v>9240.4500000000007</v>
      </c>
      <c r="F7" s="7">
        <f t="shared" si="2"/>
        <v>0.33013397642015008</v>
      </c>
      <c r="G7" s="8" t="s">
        <v>14</v>
      </c>
    </row>
    <row r="8" spans="1:7" ht="21.95" customHeight="1">
      <c r="A8" s="9" t="s">
        <v>15</v>
      </c>
      <c r="B8" s="10">
        <v>18990</v>
      </c>
      <c r="C8" s="11">
        <v>29990</v>
      </c>
      <c r="D8" s="12">
        <f t="shared" si="0"/>
        <v>1349.55</v>
      </c>
      <c r="E8" s="13">
        <f t="shared" si="1"/>
        <v>9650.4500000000007</v>
      </c>
      <c r="F8" s="14">
        <f t="shared" si="2"/>
        <v>0.32178892964321443</v>
      </c>
      <c r="G8" s="15" t="s">
        <v>16</v>
      </c>
    </row>
    <row r="9" spans="1:7" ht="21.95" customHeight="1">
      <c r="A9" s="2" t="s">
        <v>17</v>
      </c>
      <c r="B9" s="3">
        <v>20990</v>
      </c>
      <c r="C9" s="4">
        <v>34990</v>
      </c>
      <c r="D9" s="5">
        <f t="shared" si="0"/>
        <v>1574.55</v>
      </c>
      <c r="E9" s="6">
        <f t="shared" si="1"/>
        <v>12425.45</v>
      </c>
      <c r="F9" s="7">
        <f t="shared" si="2"/>
        <v>0.35511431837667906</v>
      </c>
      <c r="G9" s="8" t="s">
        <v>18</v>
      </c>
    </row>
    <row r="10" spans="1:7" ht="21.95" customHeight="1">
      <c r="A10" s="9" t="s">
        <v>19</v>
      </c>
      <c r="B10" s="10">
        <v>28990</v>
      </c>
      <c r="C10" s="11">
        <v>47990</v>
      </c>
      <c r="D10" s="12">
        <f t="shared" si="0"/>
        <v>2159.5499999999997</v>
      </c>
      <c r="E10" s="13">
        <f t="shared" si="1"/>
        <v>16840.45</v>
      </c>
      <c r="F10" s="14">
        <f t="shared" si="2"/>
        <v>0.35091581579495729</v>
      </c>
      <c r="G10" s="15" t="s">
        <v>20</v>
      </c>
    </row>
    <row r="11" spans="1:7" ht="24.95" customHeight="1">
      <c r="A11" s="16" t="s">
        <v>21</v>
      </c>
      <c r="B11" s="17">
        <f>AVERAGE(B5:B10)</f>
        <v>18073.333333333332</v>
      </c>
      <c r="C11" s="17">
        <f>AVERAGE(C5:C10)</f>
        <v>29823.333333333332</v>
      </c>
      <c r="D11" s="17">
        <f>AVERAGE(D5:D10)</f>
        <v>1342.05</v>
      </c>
      <c r="E11" s="17">
        <f>AVERAGE(E5:E10)</f>
        <v>10407.949999999999</v>
      </c>
      <c r="F11" s="18">
        <f>AVERAGE(F5:F10)</f>
        <v>0.35214077259336313</v>
      </c>
      <c r="G11" s="19" t="s">
        <v>22</v>
      </c>
    </row>
    <row r="13" spans="1:7">
      <c r="A13" s="22" t="s">
        <v>23</v>
      </c>
      <c r="B13" s="21"/>
      <c r="C13" s="21"/>
    </row>
    <row r="14" spans="1:7">
      <c r="A14" s="20" t="s">
        <v>24</v>
      </c>
      <c r="B14" s="21"/>
      <c r="C14" s="21"/>
      <c r="D14" s="21"/>
      <c r="E14" s="21"/>
      <c r="F14" s="21"/>
      <c r="G14" s="21"/>
    </row>
    <row r="15" spans="1:7">
      <c r="A15" s="20" t="s">
        <v>25</v>
      </c>
      <c r="B15" s="21"/>
      <c r="C15" s="21"/>
      <c r="D15" s="21"/>
      <c r="E15" s="21"/>
      <c r="F15" s="21"/>
      <c r="G15" s="21"/>
    </row>
    <row r="16" spans="1:7">
      <c r="A16" s="20" t="s">
        <v>26</v>
      </c>
      <c r="B16" s="21"/>
      <c r="C16" s="21"/>
      <c r="D16" s="21"/>
      <c r="E16" s="21"/>
      <c r="F16" s="21"/>
      <c r="G16" s="21"/>
    </row>
    <row r="17" spans="1:7">
      <c r="A17" s="20" t="s">
        <v>27</v>
      </c>
      <c r="B17" s="21"/>
      <c r="C17" s="21"/>
      <c r="D17" s="21"/>
      <c r="E17" s="21"/>
      <c r="F17" s="21"/>
      <c r="G17" s="21"/>
    </row>
  </sheetData>
  <mergeCells count="7">
    <mergeCell ref="A14:G14"/>
    <mergeCell ref="A13:C13"/>
    <mergeCell ref="A1:G1"/>
    <mergeCell ref="A17:G17"/>
    <mergeCell ref="A2:G2"/>
    <mergeCell ref="A16:G16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 TEE.CL vs Paradise 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2026-09-08T15:58:00Z</dcterms:created>
  <dcterms:modified xsi:type="dcterms:W3CDTF">2026-09-24T15:28:39Z</dcterms:modified>
</cp:coreProperties>
</file>