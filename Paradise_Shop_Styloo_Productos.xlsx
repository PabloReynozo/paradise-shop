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dise Shop - Stylo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6F9"/>
        <bgColor rgb="00F4F6F9"/>
      </patternFill>
    </fill>
    <fill>
      <patternFill patternType="solid">
        <fgColor rgb="00EAECEE"/>
        <bgColor rgb="00EAECE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0" fillId="0" borderId="2" pivotButton="0" quotePrefix="0" xfId="0"/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5" customWidth="1" min="2" max="2"/>
    <col width="22" customWidth="1" min="3" max="3"/>
    <col width="24" customWidth="1" min="4" max="4"/>
    <col width="22" customWidth="1" min="5" max="5"/>
    <col width="20" customWidth="1" min="6" max="6"/>
    <col width="15" customWidth="1" min="7" max="7"/>
  </cols>
  <sheetData>
    <row r="1">
      <c r="A1" s="1" t="inlineStr">
        <is>
          <t>Listado de Productos - Styloo vs Paradise Shop</t>
        </is>
      </c>
    </row>
    <row r="2">
      <c r="A2" s="2" t="inlineStr">
        <is>
          <t>Desglose de costos, comisiones, precios de venta sugeridos (Shopify) y margen de ganancia</t>
        </is>
      </c>
    </row>
    <row r="4" ht="28" customHeight="1">
      <c r="A4" s="3" t="inlineStr">
        <is>
          <t>N°</t>
        </is>
      </c>
      <c r="B4" s="3" t="inlineStr">
        <is>
          <t>Producto</t>
        </is>
      </c>
      <c r="C4" s="3" t="inlineStr">
        <is>
          <t>Costo Styloo (-30%)</t>
        </is>
      </c>
      <c r="D4" s="3" t="inlineStr">
        <is>
          <t>Comisión Pasarela (~3.5%)</t>
        </is>
      </c>
      <c r="E4" s="3" t="inlineStr">
        <is>
          <t>Precio Venta Shopify</t>
        </is>
      </c>
      <c r="F4" s="3" t="inlineStr">
        <is>
          <t>Ganancia Limpia</t>
        </is>
      </c>
      <c r="G4" s="3" t="inlineStr">
        <is>
          <t>Margen (%)</t>
        </is>
      </c>
    </row>
    <row r="5" ht="20" customHeight="1">
      <c r="A5" s="4" t="n">
        <v>1</v>
      </c>
      <c r="B5" s="5" t="inlineStr">
        <is>
          <t>Polera MC Niño Old Brits 100% Algodón 160 Grs</t>
        </is>
      </c>
      <c r="C5" s="6" t="n">
        <v>8084</v>
      </c>
      <c r="D5" s="6" t="n">
        <v>525</v>
      </c>
      <c r="E5" s="6" t="n">
        <v>14990</v>
      </c>
      <c r="F5" s="6">
        <f>E5-C5-D5</f>
        <v/>
      </c>
      <c r="G5" s="7">
        <f>F5/E5</f>
        <v/>
      </c>
    </row>
    <row r="6" ht="20" customHeight="1">
      <c r="A6" s="8" t="n">
        <v>2</v>
      </c>
      <c r="B6" s="9" t="inlineStr">
        <is>
          <t>Polera Hombre MC Old Brits 100% Algodón 160 Grs</t>
        </is>
      </c>
      <c r="C6" s="10" t="n">
        <v>8334</v>
      </c>
      <c r="D6" s="10" t="n">
        <v>595</v>
      </c>
      <c r="E6" s="10" t="n">
        <v>16990</v>
      </c>
      <c r="F6" s="10">
        <f>E6-C6-D6</f>
        <v/>
      </c>
      <c r="G6" s="11">
        <f>F6/E6</f>
        <v/>
      </c>
    </row>
    <row r="7" ht="20" customHeight="1">
      <c r="A7" s="4" t="n">
        <v>3</v>
      </c>
      <c r="B7" s="5" t="inlineStr">
        <is>
          <t>Polera Mujer MC Old Brits 100% Algodón 160 Grs</t>
        </is>
      </c>
      <c r="C7" s="6" t="n">
        <v>8417</v>
      </c>
      <c r="D7" s="6" t="n">
        <v>595</v>
      </c>
      <c r="E7" s="6" t="n">
        <v>16990</v>
      </c>
      <c r="F7" s="6">
        <f>E7-C7-D7</f>
        <v/>
      </c>
      <c r="G7" s="7">
        <f>F7/E7</f>
        <v/>
      </c>
    </row>
    <row r="8" ht="20" customHeight="1">
      <c r="A8" s="8" t="n">
        <v>4</v>
      </c>
      <c r="B8" s="9" t="inlineStr">
        <is>
          <t>Canguro Old Brits Crop Top Mujer 285 Grs</t>
        </is>
      </c>
      <c r="C8" s="10" t="n">
        <v>12665</v>
      </c>
      <c r="D8" s="10" t="n">
        <v>875</v>
      </c>
      <c r="E8" s="10" t="n">
        <v>24990</v>
      </c>
      <c r="F8" s="10">
        <f>E8-C8-D8</f>
        <v/>
      </c>
      <c r="G8" s="11">
        <f>F8/E8</f>
        <v/>
      </c>
    </row>
    <row r="9" ht="20" customHeight="1">
      <c r="A9" s="4" t="n">
        <v>5</v>
      </c>
      <c r="B9" s="5" t="inlineStr">
        <is>
          <t>Polera Oversize Cottonext 280 Grs</t>
        </is>
      </c>
      <c r="C9" s="6" t="n">
        <v>11915</v>
      </c>
      <c r="D9" s="6" t="n">
        <v>805</v>
      </c>
      <c r="E9" s="6" t="n">
        <v>22990</v>
      </c>
      <c r="F9" s="6">
        <f>E9-C9-D9</f>
        <v/>
      </c>
      <c r="G9" s="7">
        <f>F9/E9</f>
        <v/>
      </c>
    </row>
    <row r="10" ht="20" customHeight="1">
      <c r="A10" s="8" t="n">
        <v>6</v>
      </c>
      <c r="B10" s="9" t="inlineStr">
        <is>
          <t>Polera MC Lycra Mujer Cottonext 160 Grs</t>
        </is>
      </c>
      <c r="C10" s="10" t="n">
        <v>8583</v>
      </c>
      <c r="D10" s="10" t="n">
        <v>595</v>
      </c>
      <c r="E10" s="10" t="n">
        <v>16990</v>
      </c>
      <c r="F10" s="10">
        <f>E10-C10-D10</f>
        <v/>
      </c>
      <c r="G10" s="11">
        <f>F10/E10</f>
        <v/>
      </c>
    </row>
    <row r="11" ht="20" customHeight="1">
      <c r="A11" s="4" t="n">
        <v>7</v>
      </c>
      <c r="B11" s="5" t="inlineStr">
        <is>
          <t>Polera ML Raglan Cottonext 180 Grs</t>
        </is>
      </c>
      <c r="C11" s="6" t="n">
        <v>9666</v>
      </c>
      <c r="D11" s="6" t="n">
        <v>665</v>
      </c>
      <c r="E11" s="6" t="n">
        <v>18990</v>
      </c>
      <c r="F11" s="6">
        <f>E11-C11-D11</f>
        <v/>
      </c>
      <c r="G11" s="7">
        <f>F11/E11</f>
        <v/>
      </c>
    </row>
    <row r="12" ht="20" customHeight="1">
      <c r="A12" s="8" t="n">
        <v>8</v>
      </c>
      <c r="B12" s="9" t="inlineStr">
        <is>
          <t>Funda Cojín Sublimable 40x40 cm (Diseños Varios: Anime, Gamer, Pop)</t>
        </is>
      </c>
      <c r="C12" s="10" t="n">
        <v>7334</v>
      </c>
      <c r="D12" s="10" t="n">
        <v>455</v>
      </c>
      <c r="E12" s="10" t="n">
        <v>12990</v>
      </c>
      <c r="F12" s="10">
        <f>E12-C12-D12</f>
        <v/>
      </c>
      <c r="G12" s="11">
        <f>F12/E12</f>
        <v/>
      </c>
    </row>
    <row r="13" ht="20" customHeight="1">
      <c r="A13" s="4" t="n">
        <v>9</v>
      </c>
      <c r="B13" s="5" t="inlineStr">
        <is>
          <t>Poleras Estampadas / Diseños (Akaza, Fighter Rabbit, Fuck Wars, Jason, Sith, Medusa, Nezuco)</t>
        </is>
      </c>
      <c r="C13" s="6" t="n">
        <v>9500</v>
      </c>
      <c r="D13" s="6" t="n">
        <v>665</v>
      </c>
      <c r="E13" s="6" t="n">
        <v>18990</v>
      </c>
      <c r="F13" s="6">
        <f>E13-C13-D13</f>
        <v/>
      </c>
      <c r="G13" s="7">
        <f>F13/E13</f>
        <v/>
      </c>
    </row>
    <row r="14" ht="20" customHeight="1">
      <c r="A14" s="8" t="n">
        <v>10</v>
      </c>
      <c r="B14" s="9" t="inlineStr">
        <is>
          <t>Poleras Algodón Orgánico (King / Noise)</t>
        </is>
      </c>
      <c r="C14" s="10" t="n">
        <v>9500</v>
      </c>
      <c r="D14" s="10" t="n">
        <v>665</v>
      </c>
      <c r="E14" s="10" t="n">
        <v>18990</v>
      </c>
      <c r="F14" s="10">
        <f>E14-C14-D14</f>
        <v/>
      </c>
      <c r="G14" s="11">
        <f>F14/E14</f>
        <v/>
      </c>
    </row>
    <row r="15" ht="20" customHeight="1">
      <c r="A15" s="4" t="n">
        <v>11</v>
      </c>
      <c r="B15" s="5" t="inlineStr">
        <is>
          <t>Mochila Multiusos (Cocodrilo, Panda, Zenitsu) / Bolsa Crudo Algodón</t>
        </is>
      </c>
      <c r="C15" s="6" t="n">
        <v>7859</v>
      </c>
      <c r="D15" s="6" t="n">
        <v>525</v>
      </c>
      <c r="E15" s="6" t="n">
        <v>14990</v>
      </c>
      <c r="F15" s="6">
        <f>E15-C15-D15</f>
        <v/>
      </c>
      <c r="G15" s="7">
        <f>F15/E15</f>
        <v/>
      </c>
    </row>
    <row r="16" ht="20" customHeight="1">
      <c r="A16" s="8" t="n">
        <v>12</v>
      </c>
      <c r="B16" s="9" t="inlineStr">
        <is>
          <t>Mochila Resistente Al Agua</t>
        </is>
      </c>
      <c r="C16" s="10" t="n">
        <v>10591</v>
      </c>
      <c r="D16" s="10" t="n">
        <v>665</v>
      </c>
      <c r="E16" s="10" t="n">
        <v>18990</v>
      </c>
      <c r="F16" s="10">
        <f>E16-C16-D16</f>
        <v/>
      </c>
      <c r="G16" s="11">
        <f>F16/E16</f>
        <v/>
      </c>
    </row>
    <row r="17" ht="20" customHeight="1">
      <c r="A17" s="4" t="n">
        <v>13</v>
      </c>
      <c r="B17" s="5" t="inlineStr">
        <is>
          <t>Alfombrilla Game Pad (Mousepad XL)</t>
        </is>
      </c>
      <c r="C17" s="6" t="n">
        <v>10591</v>
      </c>
      <c r="D17" s="6" t="n">
        <v>665</v>
      </c>
      <c r="E17" s="6" t="n">
        <v>18990</v>
      </c>
      <c r="F17" s="6">
        <f>E17-C17-D17</f>
        <v/>
      </c>
      <c r="G17" s="7">
        <f>F17/E17</f>
        <v/>
      </c>
    </row>
    <row r="18" ht="20" customHeight="1">
      <c r="A18" s="8" t="n">
        <v>14</v>
      </c>
      <c r="B18" s="9" t="inlineStr">
        <is>
          <t>Botella Aluminio Tapa Rosca 850 ml</t>
        </is>
      </c>
      <c r="C18" s="10" t="n">
        <v>9808</v>
      </c>
      <c r="D18" s="10" t="n">
        <v>560</v>
      </c>
      <c r="E18" s="10" t="n">
        <v>15990</v>
      </c>
      <c r="F18" s="10">
        <f>E18-C18-D18</f>
        <v/>
      </c>
      <c r="G18" s="11">
        <f>F18/E18</f>
        <v/>
      </c>
    </row>
    <row r="19" ht="20" customHeight="1">
      <c r="A19" s="4" t="n">
        <v>15</v>
      </c>
      <c r="B19" s="5" t="inlineStr">
        <is>
          <t>Calcetín Mediano Personalizado</t>
        </is>
      </c>
      <c r="C19" s="6" t="n">
        <v>9925</v>
      </c>
      <c r="D19" s="6" t="n">
        <v>525</v>
      </c>
      <c r="E19" s="6" t="n">
        <v>14990</v>
      </c>
      <c r="F19" s="6">
        <f>E19-C19-D19</f>
        <v/>
      </c>
      <c r="G19" s="7">
        <f>F19/E19</f>
        <v/>
      </c>
    </row>
    <row r="20" ht="20" customHeight="1">
      <c r="A20" s="8" t="n">
        <v>16</v>
      </c>
      <c r="B20" s="9" t="inlineStr">
        <is>
          <t>Collar Bandana Para Mascota Talla L</t>
        </is>
      </c>
      <c r="C20" s="10" t="n">
        <v>9425</v>
      </c>
      <c r="D20" s="10" t="n">
        <v>490</v>
      </c>
      <c r="E20" s="10" t="n">
        <v>13990</v>
      </c>
      <c r="F20" s="10">
        <f>E20-C20-D20</f>
        <v/>
      </c>
      <c r="G20" s="11">
        <f>F20/E20</f>
        <v/>
      </c>
    </row>
    <row r="21" ht="20" customHeight="1">
      <c r="A21" s="4" t="n">
        <v>17</v>
      </c>
      <c r="B21" s="5" t="inlineStr">
        <is>
          <t>Placa Identificadora Mascota / Llavero Rectangular</t>
        </is>
      </c>
      <c r="C21" s="6" t="n">
        <v>4925</v>
      </c>
      <c r="D21" s="6" t="n">
        <v>315</v>
      </c>
      <c r="E21" s="6" t="n">
        <v>8990</v>
      </c>
      <c r="F21" s="6">
        <f>E21-C21-D21</f>
        <v/>
      </c>
      <c r="G21" s="7">
        <f>F21/E21</f>
        <v/>
      </c>
    </row>
    <row r="22" ht="20" customHeight="1">
      <c r="A22" s="8" t="n">
        <v>18</v>
      </c>
      <c r="B22" s="9" t="inlineStr">
        <is>
          <t>Cuello Multifuncional (Bandana / Bandana tubular)</t>
        </is>
      </c>
      <c r="C22" s="10" t="n">
        <v>8508</v>
      </c>
      <c r="D22" s="10" t="n">
        <v>455</v>
      </c>
      <c r="E22" s="10" t="n">
        <v>12990</v>
      </c>
      <c r="F22" s="10">
        <f>E22-C22-D22</f>
        <v/>
      </c>
      <c r="G22" s="11">
        <f>F22/E22</f>
        <v/>
      </c>
    </row>
    <row r="23" ht="20" customHeight="1">
      <c r="A23" s="4" t="n">
        <v>19</v>
      </c>
      <c r="B23" s="5" t="inlineStr">
        <is>
          <t>Funda Almohada Charpie 50x70 cm</t>
        </is>
      </c>
      <c r="C23" s="6" t="n">
        <v>9841</v>
      </c>
      <c r="D23" s="6" t="n">
        <v>525</v>
      </c>
      <c r="E23" s="6" t="n">
        <v>14990</v>
      </c>
      <c r="F23" s="6">
        <f>E23-C23-D23</f>
        <v/>
      </c>
      <c r="G23" s="7">
        <f>F23/E23</f>
        <v/>
      </c>
    </row>
    <row r="24" ht="20" customHeight="1">
      <c r="A24" s="8" t="n">
        <v>20</v>
      </c>
      <c r="B24" s="9" t="inlineStr">
        <is>
          <t>Tazón Interior/Mango Color 11 oz / Tazón Premium</t>
        </is>
      </c>
      <c r="C24" s="10" t="n">
        <v>9716</v>
      </c>
      <c r="D24" s="10" t="n">
        <v>525</v>
      </c>
      <c r="E24" s="10" t="n">
        <v>14990</v>
      </c>
      <c r="F24" s="10">
        <f>E24-C24-D24</f>
        <v/>
      </c>
      <c r="G24" s="11">
        <f>F24/E24</f>
        <v/>
      </c>
    </row>
    <row r="25" ht="20" customHeight="1">
      <c r="A25" s="4" t="n">
        <v>21</v>
      </c>
      <c r="B25" s="5" t="inlineStr">
        <is>
          <t>Polera Hombre Golden / Polera Mujer Rosa Claro</t>
        </is>
      </c>
      <c r="C25" s="6" t="n">
        <v>9325</v>
      </c>
      <c r="D25" s="6" t="n">
        <v>630</v>
      </c>
      <c r="E25" s="6" t="n">
        <v>17990</v>
      </c>
      <c r="F25" s="6">
        <f>E25-C25-D25</f>
        <v/>
      </c>
      <c r="G25" s="7">
        <f>F25/E25</f>
        <v/>
      </c>
    </row>
    <row r="26" ht="20" customHeight="1">
      <c r="A26" s="8" t="n">
        <v>22</v>
      </c>
      <c r="B26" s="9" t="inlineStr">
        <is>
          <t>Polerón Bicolor Mujer / Hombre Capucha o Cierre</t>
        </is>
      </c>
      <c r="C26" s="10" t="n">
        <v>14756</v>
      </c>
      <c r="D26" s="10" t="n">
        <v>1050</v>
      </c>
      <c r="E26" s="10" t="n">
        <v>29990</v>
      </c>
      <c r="F26" s="10">
        <f>E26-C26-D26</f>
        <v/>
      </c>
      <c r="G26" s="11">
        <f>F26/E26</f>
        <v/>
      </c>
    </row>
    <row r="27" ht="20" customHeight="1">
      <c r="A27" s="4" t="n">
        <v>23</v>
      </c>
      <c r="B27" s="5" t="inlineStr">
        <is>
          <t>Bermuda Sport 2026</t>
        </is>
      </c>
      <c r="C27" s="6" t="n">
        <v>12424</v>
      </c>
      <c r="D27" s="6" t="n">
        <v>875</v>
      </c>
      <c r="E27" s="6" t="n">
        <v>24990</v>
      </c>
      <c r="F27" s="6">
        <f>E27-C27-D27</f>
        <v/>
      </c>
      <c r="G27" s="7">
        <f>F27/E27</f>
        <v/>
      </c>
    </row>
    <row r="28" ht="20" customHeight="1">
      <c r="A28" s="8" t="n">
        <v>24</v>
      </c>
      <c r="B28" s="9" t="inlineStr">
        <is>
          <t>Falda Pantalón</t>
        </is>
      </c>
      <c r="C28" s="10" t="n">
        <v>13923</v>
      </c>
      <c r="D28" s="10" t="n">
        <v>945</v>
      </c>
      <c r="E28" s="10" t="n">
        <v>26990</v>
      </c>
      <c r="F28" s="10">
        <f>E28-C28-D28</f>
        <v/>
      </c>
      <c r="G28" s="11">
        <f>F28/E28</f>
        <v/>
      </c>
    </row>
    <row r="29" ht="20" customHeight="1">
      <c r="A29" s="4" t="n">
        <v>25</v>
      </c>
      <c r="B29" s="5" t="inlineStr">
        <is>
          <t>Lámina DTF Impresa A4 (Insumo)</t>
        </is>
      </c>
      <c r="C29" s="6" t="n">
        <v>8565</v>
      </c>
      <c r="D29" s="6" t="n">
        <v>420</v>
      </c>
      <c r="E29" s="6" t="n">
        <v>11990</v>
      </c>
      <c r="F29" s="6">
        <f>E29-C29-D29</f>
        <v/>
      </c>
      <c r="G29" s="7">
        <f>F29/E29</f>
        <v/>
      </c>
    </row>
    <row r="30" ht="22" customHeight="1">
      <c r="A30" s="12" t="inlineStr"/>
      <c r="B30" s="13" t="inlineStr">
        <is>
          <t>Promedio / Totales</t>
        </is>
      </c>
      <c r="C30" s="14">
        <f>AVERAGE(C5:C29)</f>
        <v/>
      </c>
      <c r="D30" s="14">
        <f>AVERAGE(D5:D29)</f>
        <v/>
      </c>
      <c r="E30" s="14">
        <f>AVERAGE(E5:E29)</f>
        <v/>
      </c>
      <c r="F30" s="14">
        <f>AVERAGE(F5:F29)</f>
        <v/>
      </c>
      <c r="G30" s="15">
        <f>AVERAGE(G5:G29)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2026-09-07T14:42:47Z</dcterms:created>
  <dcterms:modified xmlns:dcterms="http://purl.org/dc/terms/" xmlns:xsi="http://www.w3.org/2001/XMLSchema-instance" xsi:type="dcterms:W3CDTF">2026-09-07T14:42:47Z</dcterms:modified>
</cp:coreProperties>
</file>