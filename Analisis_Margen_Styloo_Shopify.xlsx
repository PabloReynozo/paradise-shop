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álisis de Precios y Mar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4E78"/>
      <sz val="10"/>
    </font>
    <font>
      <name val="Calibri"/>
      <b val="1"/>
      <sz val="10"/>
    </font>
    <font>
      <name val="Calibri"/>
      <b val="1"/>
      <sz val="11"/>
    </font>
    <font>
      <name val="Calibri"/>
      <b val="1"/>
      <color rgb="001F4E78"/>
      <sz val="11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FFFFF"/>
        <bgColor rgb="00FFFFFF"/>
      </patternFill>
    </fill>
    <fill>
      <patternFill patternType="solid">
        <fgColor rgb="00F9FBFD"/>
        <bgColor rgb="00F9FBFD"/>
      </patternFill>
    </fill>
    <fill>
      <patternFill patternType="solid">
        <fgColor rgb="00D9E1F2"/>
        <bgColor rgb="00D9E1F2"/>
      </patternFill>
    </fill>
  </fills>
  <borders count="4">
    <border>
      <left/>
      <right/>
      <top/>
      <bottom/>
      <diagonal/>
    </border>
    <border>
      <left style="thin">
        <color rgb="001F4E78"/>
      </left>
      <right style="thin">
        <color rgb="001F4E78"/>
      </right>
      <top style="medium">
        <color rgb="001F4E78"/>
      </top>
      <bottom style="medium">
        <color rgb="001F4E7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E78"/>
      </top>
      <bottom style="double">
        <color rgb="001F4E78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/>
    </xf>
    <xf numFmtId="164" fontId="4" fillId="4" borderId="2" applyAlignment="1" pivotButton="0" quotePrefix="0" xfId="0">
      <alignment horizontal="right" vertical="center"/>
    </xf>
    <xf numFmtId="164" fontId="5" fillId="4" borderId="2" applyAlignment="1" pivotButton="0" quotePrefix="0" xfId="0">
      <alignment horizontal="right" vertical="center"/>
    </xf>
    <xf numFmtId="165" fontId="6" fillId="4" borderId="2" applyAlignment="1" pivotButton="0" quotePrefix="0" xfId="0">
      <alignment horizontal="right" vertical="center"/>
    </xf>
    <xf numFmtId="0" fontId="4" fillId="4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164" fontId="5" fillId="5" borderId="2" applyAlignment="1" pivotButton="0" quotePrefix="0" xfId="0">
      <alignment horizontal="right" vertical="center"/>
    </xf>
    <xf numFmtId="165" fontId="6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8" fillId="6" borderId="3" applyAlignment="1" pivotButton="0" quotePrefix="0" xfId="0">
      <alignment horizontal="left" vertical="center"/>
    </xf>
    <xf numFmtId="164" fontId="8" fillId="6" borderId="3" applyAlignment="1" pivotButton="0" quotePrefix="0" xfId="0">
      <alignment horizontal="right" vertical="center"/>
    </xf>
    <xf numFmtId="165" fontId="8" fillId="6" borderId="3" applyAlignment="1" pivotButton="0" quotePrefix="0" xfId="0">
      <alignment horizontal="right" vertical="center"/>
    </xf>
    <xf numFmtId="0" fontId="8" fillId="6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5" customWidth="1" min="1" max="1"/>
    <col width="20" customWidth="1" min="2" max="2"/>
    <col width="22" customWidth="1" min="3" max="3"/>
    <col width="22" customWidth="1" min="4" max="4"/>
    <col width="18" customWidth="1" min="5" max="5"/>
    <col width="15" customWidth="1" min="6" max="6"/>
    <col width="20" customWidth="1" min="7" max="7"/>
  </cols>
  <sheetData>
    <row r="1" ht="40" customHeight="1">
      <c r="A1" s="1" t="inlineStr">
        <is>
          <t>Matriz de Costos, Precios y Margen de Ganancia - Styloo / Shopify</t>
        </is>
      </c>
    </row>
    <row r="2" ht="20" customHeight="1">
      <c r="A2" s="2" t="inlineStr">
        <is>
          <t>Cálculo de Ganancia Limpia y Margen (%) considerando Costo Styloo (-30%) y Comisión Pasarela (~3.5%) sobre Precio Shopify</t>
        </is>
      </c>
    </row>
    <row r="4" ht="28" customHeight="1">
      <c r="A4" s="3" t="inlineStr">
        <is>
          <t>Producto</t>
        </is>
      </c>
      <c r="B4" s="3" t="inlineStr">
        <is>
          <t>Costo Styloo (-30%)</t>
        </is>
      </c>
      <c r="C4" s="3" t="inlineStr">
        <is>
          <t>Comisión Pasarela (~3.5%)</t>
        </is>
      </c>
      <c r="D4" s="3" t="inlineStr">
        <is>
          <t>Precio Venta Shopify</t>
        </is>
      </c>
      <c r="E4" s="3" t="inlineStr">
        <is>
          <t>Ganancia Limpia</t>
        </is>
      </c>
      <c r="F4" s="3" t="inlineStr">
        <is>
          <t>Margen (%)</t>
        </is>
      </c>
      <c r="G4" s="3" t="inlineStr">
        <is>
          <t>Evaluación Margen</t>
        </is>
      </c>
    </row>
    <row r="5">
      <c r="A5" s="4" t="inlineStr">
        <is>
          <t>Polera MC Niño Old Brits 100% Algodón 160 Grs Old Brits N1600</t>
        </is>
      </c>
      <c r="B5" s="5">
        <f>D5*0.7</f>
        <v/>
      </c>
      <c r="C5" s="5">
        <f>D5*0.035</f>
        <v/>
      </c>
      <c r="D5" s="5" t="n">
        <v>11548</v>
      </c>
      <c r="E5" s="6">
        <f>D5-B5-C5</f>
        <v/>
      </c>
      <c r="F5" s="7">
        <f>E5/D5</f>
        <v/>
      </c>
      <c r="G5" s="8">
        <f>IF(F5&gt;=0.25,"Excelente",IF(F5&gt;=0.15,"Bueno","Bajo"))</f>
        <v/>
      </c>
    </row>
    <row r="6">
      <c r="A6" s="9" t="inlineStr">
        <is>
          <t>Polera MC Niño Old Brits 100% Algodón 160 Grs Old Brits N1600</t>
        </is>
      </c>
      <c r="B6" s="10">
        <f>D6*0.7</f>
        <v/>
      </c>
      <c r="C6" s="10">
        <f>D6*0.035</f>
        <v/>
      </c>
      <c r="D6" s="10" t="n">
        <v>11548</v>
      </c>
      <c r="E6" s="11">
        <f>D6-B6-C6</f>
        <v/>
      </c>
      <c r="F6" s="12">
        <f>E6/D6</f>
        <v/>
      </c>
      <c r="G6" s="13">
        <f>IF(F6&gt;=0.25,"Excelente",IF(F6&gt;=0.15,"Bueno","Bajo"))</f>
        <v/>
      </c>
    </row>
    <row r="7">
      <c r="A7" s="4" t="inlineStr">
        <is>
          <t>Polera MC Niño Old Brits 100% Algodón 160 Grs Old Brits N1600</t>
        </is>
      </c>
      <c r="B7" s="5">
        <f>D7*0.7</f>
        <v/>
      </c>
      <c r="C7" s="5">
        <f>D7*0.035</f>
        <v/>
      </c>
      <c r="D7" s="5" t="n">
        <v>11548</v>
      </c>
      <c r="E7" s="6">
        <f>D7-B7-C7</f>
        <v/>
      </c>
      <c r="F7" s="7">
        <f>E7/D7</f>
        <v/>
      </c>
      <c r="G7" s="8">
        <f>IF(F7&gt;=0.25,"Excelente",IF(F7&gt;=0.15,"Bueno","Bajo"))</f>
        <v/>
      </c>
    </row>
    <row r="8">
      <c r="A8" s="9" t="inlineStr">
        <is>
          <t>Polera MC Niño Old Brits 100% Algodón 160 Grs Old Brits N1600</t>
        </is>
      </c>
      <c r="B8" s="10">
        <f>D8*0.7</f>
        <v/>
      </c>
      <c r="C8" s="10">
        <f>D8*0.035</f>
        <v/>
      </c>
      <c r="D8" s="10" t="n">
        <v>11548</v>
      </c>
      <c r="E8" s="11">
        <f>D8-B8-C8</f>
        <v/>
      </c>
      <c r="F8" s="12">
        <f>E8/D8</f>
        <v/>
      </c>
      <c r="G8" s="13">
        <f>IF(F8&gt;=0.25,"Excelente",IF(F8&gt;=0.15,"Bueno","Bajo"))</f>
        <v/>
      </c>
    </row>
    <row r="9">
      <c r="A9" s="4" t="inlineStr">
        <is>
          <t>Polera MC Niño Old Brits 100% Algodón 160 Grs Old Brits N1600</t>
        </is>
      </c>
      <c r="B9" s="5">
        <f>D9*0.7</f>
        <v/>
      </c>
      <c r="C9" s="5">
        <f>D9*0.035</f>
        <v/>
      </c>
      <c r="D9" s="5" t="n">
        <v>11548</v>
      </c>
      <c r="E9" s="6">
        <f>D9-B9-C9</f>
        <v/>
      </c>
      <c r="F9" s="7">
        <f>E9/D9</f>
        <v/>
      </c>
      <c r="G9" s="8">
        <f>IF(F9&gt;=0.25,"Excelente",IF(F9&gt;=0.15,"Bueno","Bajo"))</f>
        <v/>
      </c>
    </row>
    <row r="10">
      <c r="A10" s="9" t="inlineStr">
        <is>
          <t>Polera Hombre MC Old Brits 100% Algodón 160 Grs Old Brits H1600</t>
        </is>
      </c>
      <c r="B10" s="10">
        <f>D10*0.7</f>
        <v/>
      </c>
      <c r="C10" s="10">
        <f>D10*0.035</f>
        <v/>
      </c>
      <c r="D10" s="10" t="n">
        <v>11905</v>
      </c>
      <c r="E10" s="11">
        <f>D10-B10-C10</f>
        <v/>
      </c>
      <c r="F10" s="12">
        <f>E10/D10</f>
        <v/>
      </c>
      <c r="G10" s="13">
        <f>IF(F10&gt;=0.25,"Excelente",IF(F10&gt;=0.15,"Bueno","Bajo"))</f>
        <v/>
      </c>
    </row>
    <row r="11">
      <c r="A11" s="4" t="inlineStr">
        <is>
          <t>Polera Hombre MC Old Brits 100% Algodón 160 Grs Old Brits H1600</t>
        </is>
      </c>
      <c r="B11" s="5">
        <f>D11*0.7</f>
        <v/>
      </c>
      <c r="C11" s="5">
        <f>D11*0.035</f>
        <v/>
      </c>
      <c r="D11" s="5" t="n">
        <v>11905</v>
      </c>
      <c r="E11" s="6">
        <f>D11-B11-C11</f>
        <v/>
      </c>
      <c r="F11" s="7">
        <f>E11/D11</f>
        <v/>
      </c>
      <c r="G11" s="8">
        <f>IF(F11&gt;=0.25,"Excelente",IF(F11&gt;=0.15,"Bueno","Bajo"))</f>
        <v/>
      </c>
    </row>
    <row r="12">
      <c r="A12" s="9" t="inlineStr">
        <is>
          <t>Polera Hombre MC Old Brits 100% Algodón 160 Grs Old Brits H1600</t>
        </is>
      </c>
      <c r="B12" s="10">
        <f>D12*0.7</f>
        <v/>
      </c>
      <c r="C12" s="10">
        <f>D12*0.035</f>
        <v/>
      </c>
      <c r="D12" s="10" t="n">
        <v>11905</v>
      </c>
      <c r="E12" s="11">
        <f>D12-B12-C12</f>
        <v/>
      </c>
      <c r="F12" s="12">
        <f>E12/D12</f>
        <v/>
      </c>
      <c r="G12" s="13">
        <f>IF(F12&gt;=0.25,"Excelente",IF(F12&gt;=0.15,"Bueno","Bajo"))</f>
        <v/>
      </c>
    </row>
    <row r="13">
      <c r="A13" s="4" t="inlineStr">
        <is>
          <t>Polera Mujer MC Old Brits 100% Algodón 160 Grs Old Brits M1600</t>
        </is>
      </c>
      <c r="B13" s="5">
        <f>D13*0.7</f>
        <v/>
      </c>
      <c r="C13" s="5">
        <f>D13*0.035</f>
        <v/>
      </c>
      <c r="D13" s="5" t="n">
        <v>12024</v>
      </c>
      <c r="E13" s="6">
        <f>D13-B13-C13</f>
        <v/>
      </c>
      <c r="F13" s="7">
        <f>E13/D13</f>
        <v/>
      </c>
      <c r="G13" s="8">
        <f>IF(F13&gt;=0.25,"Excelente",IF(F13&gt;=0.15,"Bueno","Bajo"))</f>
        <v/>
      </c>
    </row>
    <row r="14">
      <c r="A14" s="9" t="inlineStr">
        <is>
          <t>Polera Mujer MC Old Brits 100% Algodón 160 Grs Old Brits M1600</t>
        </is>
      </c>
      <c r="B14" s="10">
        <f>D14*0.7</f>
        <v/>
      </c>
      <c r="C14" s="10">
        <f>D14*0.035</f>
        <v/>
      </c>
      <c r="D14" s="10" t="n">
        <v>12024</v>
      </c>
      <c r="E14" s="11">
        <f>D14-B14-C14</f>
        <v/>
      </c>
      <c r="F14" s="12">
        <f>E14/D14</f>
        <v/>
      </c>
      <c r="G14" s="13">
        <f>IF(F14&gt;=0.25,"Excelente",IF(F14&gt;=0.15,"Bueno","Bajo"))</f>
        <v/>
      </c>
    </row>
    <row r="15">
      <c r="A15" s="4" t="inlineStr">
        <is>
          <t>Polera Mujer MC Old Brits 100% Algodón 160 Grs Old Brits M1600</t>
        </is>
      </c>
      <c r="B15" s="5">
        <f>D15*0.7</f>
        <v/>
      </c>
      <c r="C15" s="5">
        <f>D15*0.035</f>
        <v/>
      </c>
      <c r="D15" s="5" t="n">
        <v>12024</v>
      </c>
      <c r="E15" s="6">
        <f>D15-B15-C15</f>
        <v/>
      </c>
      <c r="F15" s="7">
        <f>E15/D15</f>
        <v/>
      </c>
      <c r="G15" s="8">
        <f>IF(F15&gt;=0.25,"Excelente",IF(F15&gt;=0.15,"Bueno","Bajo"))</f>
        <v/>
      </c>
    </row>
    <row r="16">
      <c r="A16" s="9" t="inlineStr">
        <is>
          <t>Polera Mujer MC Old Brits 100% Algodón 160 Grs Old Brits M1600</t>
        </is>
      </c>
      <c r="B16" s="10">
        <f>D16*0.7</f>
        <v/>
      </c>
      <c r="C16" s="10">
        <f>D16*0.035</f>
        <v/>
      </c>
      <c r="D16" s="10" t="n">
        <v>12024</v>
      </c>
      <c r="E16" s="11">
        <f>D16-B16-C16</f>
        <v/>
      </c>
      <c r="F16" s="12">
        <f>E16/D16</f>
        <v/>
      </c>
      <c r="G16" s="13">
        <f>IF(F16&gt;=0.25,"Excelente",IF(F16&gt;=0.15,"Bueno","Bajo"))</f>
        <v/>
      </c>
    </row>
    <row r="17">
      <c r="A17" s="4" t="inlineStr">
        <is>
          <t>Polera Mujer MC Old Brits 100% Algodón 160 Grs Old Brits M1600</t>
        </is>
      </c>
      <c r="B17" s="5">
        <f>D17*0.7</f>
        <v/>
      </c>
      <c r="C17" s="5">
        <f>D17*0.035</f>
        <v/>
      </c>
      <c r="D17" s="5" t="n">
        <v>12024</v>
      </c>
      <c r="E17" s="6">
        <f>D17-B17-C17</f>
        <v/>
      </c>
      <c r="F17" s="7">
        <f>E17/D17</f>
        <v/>
      </c>
      <c r="G17" s="8">
        <f>IF(F17&gt;=0.25,"Excelente",IF(F17&gt;=0.15,"Bueno","Bajo"))</f>
        <v/>
      </c>
    </row>
    <row r="18">
      <c r="A18" s="9" t="inlineStr">
        <is>
          <t>Polera Mujer MC Old Brits 100% Algodón 160 Grs Old Brits M1600</t>
        </is>
      </c>
      <c r="B18" s="10">
        <f>D18*0.7</f>
        <v/>
      </c>
      <c r="C18" s="10">
        <f>D18*0.035</f>
        <v/>
      </c>
      <c r="D18" s="10" t="n">
        <v>12024</v>
      </c>
      <c r="E18" s="11">
        <f>D18-B18-C18</f>
        <v/>
      </c>
      <c r="F18" s="12">
        <f>E18/D18</f>
        <v/>
      </c>
      <c r="G18" s="13">
        <f>IF(F18&gt;=0.25,"Excelente",IF(F18&gt;=0.15,"Bueno","Bajo"))</f>
        <v/>
      </c>
    </row>
    <row r="19">
      <c r="A19" s="4" t="inlineStr">
        <is>
          <t>Polera Mujer MC Old Brits 100% Algodón 160 Grs Old Brits M1600</t>
        </is>
      </c>
      <c r="B19" s="5">
        <f>D19*0.7</f>
        <v/>
      </c>
      <c r="C19" s="5">
        <f>D19*0.035</f>
        <v/>
      </c>
      <c r="D19" s="5" t="n">
        <v>12024</v>
      </c>
      <c r="E19" s="6">
        <f>D19-B19-C19</f>
        <v/>
      </c>
      <c r="F19" s="7">
        <f>E19/D19</f>
        <v/>
      </c>
      <c r="G19" s="8">
        <f>IF(F19&gt;=0.25,"Excelente",IF(F19&gt;=0.15,"Bueno","Bajo"))</f>
        <v/>
      </c>
    </row>
    <row r="20">
      <c r="A20" s="9" t="inlineStr">
        <is>
          <t>Canguro Old Brits Crop Top Mujer 60% Algodón Franela Cardada 285 Grs</t>
        </is>
      </c>
      <c r="B20" s="10">
        <f>D20*0.7</f>
        <v/>
      </c>
      <c r="C20" s="10">
        <f>D20*0.035</f>
        <v/>
      </c>
      <c r="D20" s="10" t="n">
        <v>18093</v>
      </c>
      <c r="E20" s="11">
        <f>D20-B20-C20</f>
        <v/>
      </c>
      <c r="F20" s="12">
        <f>E20/D20</f>
        <v/>
      </c>
      <c r="G20" s="13">
        <f>IF(F20&gt;=0.25,"Excelente",IF(F20&gt;=0.15,"Bueno","Bajo"))</f>
        <v/>
      </c>
    </row>
    <row r="21">
      <c r="A21" s="4" t="inlineStr">
        <is>
          <t>Canguro Old Brits Crop Top Mujer 60% Algodón Franela Cardada 285 Grs</t>
        </is>
      </c>
      <c r="B21" s="5">
        <f>D21*0.7</f>
        <v/>
      </c>
      <c r="C21" s="5">
        <f>D21*0.035</f>
        <v/>
      </c>
      <c r="D21" s="5" t="n">
        <v>18093</v>
      </c>
      <c r="E21" s="6">
        <f>D21-B21-C21</f>
        <v/>
      </c>
      <c r="F21" s="7">
        <f>E21/D21</f>
        <v/>
      </c>
      <c r="G21" s="8">
        <f>IF(F21&gt;=0.25,"Excelente",IF(F21&gt;=0.15,"Bueno","Bajo"))</f>
        <v/>
      </c>
    </row>
    <row r="22">
      <c r="A22" s="9" t="inlineStr">
        <is>
          <t>Polera Oversize Cottonext 80% Algodón 20% poliéster 280 Grs Cottonext OV2800</t>
        </is>
      </c>
      <c r="B22" s="10">
        <f>D22*0.7</f>
        <v/>
      </c>
      <c r="C22" s="10">
        <f>D22*0.035</f>
        <v/>
      </c>
      <c r="D22" s="10" t="n">
        <v>17022</v>
      </c>
      <c r="E22" s="11">
        <f>D22-B22-C22</f>
        <v/>
      </c>
      <c r="F22" s="12">
        <f>E22/D22</f>
        <v/>
      </c>
      <c r="G22" s="13">
        <f>IF(F22&gt;=0.25,"Excelente",IF(F22&gt;=0.15,"Bueno","Bajo"))</f>
        <v/>
      </c>
    </row>
    <row r="23">
      <c r="A23" s="4" t="inlineStr">
        <is>
          <t>Polera Oversize Cottonext 80% Algodón 20% poliéster 280 Grs Cottonext OV2800</t>
        </is>
      </c>
      <c r="B23" s="5">
        <f>D23*0.7</f>
        <v/>
      </c>
      <c r="C23" s="5">
        <f>D23*0.035</f>
        <v/>
      </c>
      <c r="D23" s="5" t="n">
        <v>17022</v>
      </c>
      <c r="E23" s="6">
        <f>D23-B23-C23</f>
        <v/>
      </c>
      <c r="F23" s="7">
        <f>E23/D23</f>
        <v/>
      </c>
      <c r="G23" s="8">
        <f>IF(F23&gt;=0.25,"Excelente",IF(F23&gt;=0.15,"Bueno","Bajo"))</f>
        <v/>
      </c>
    </row>
    <row r="24">
      <c r="A24" s="9" t="inlineStr">
        <is>
          <t>Polera Oversize Cottonext 80% Algodón 20% poliéster 280 Grs Cottonext OV2800</t>
        </is>
      </c>
      <c r="B24" s="10">
        <f>D24*0.7</f>
        <v/>
      </c>
      <c r="C24" s="10">
        <f>D24*0.035</f>
        <v/>
      </c>
      <c r="D24" s="10" t="n">
        <v>17022</v>
      </c>
      <c r="E24" s="11">
        <f>D24-B24-C24</f>
        <v/>
      </c>
      <c r="F24" s="12">
        <f>E24/D24</f>
        <v/>
      </c>
      <c r="G24" s="13">
        <f>IF(F24&gt;=0.25,"Excelente",IF(F24&gt;=0.15,"Bueno","Bajo"))</f>
        <v/>
      </c>
    </row>
    <row r="25">
      <c r="A25" s="4" t="inlineStr">
        <is>
          <t>Polera MC Lycra Mujer Cottonext 95% Algodón y 5% Lycra 160 Grs Cottonext ELAS1600</t>
        </is>
      </c>
      <c r="B25" s="5">
        <f>D25*0.7</f>
        <v/>
      </c>
      <c r="C25" s="5">
        <f>D25*0.035</f>
        <v/>
      </c>
      <c r="D25" s="5" t="n">
        <v>12262</v>
      </c>
      <c r="E25" s="6">
        <f>D25-B25-C25</f>
        <v/>
      </c>
      <c r="F25" s="7">
        <f>E25/D25</f>
        <v/>
      </c>
      <c r="G25" s="8">
        <f>IF(F25&gt;=0.25,"Excelente",IF(F25&gt;=0.15,"Bueno","Bajo"))</f>
        <v/>
      </c>
    </row>
    <row r="26">
      <c r="A26" s="9" t="inlineStr">
        <is>
          <t>Polera MC Lycra Mujer Cottonext 95% Algodón y 5% Lycra 160 Grs Cottonext ELAS1600</t>
        </is>
      </c>
      <c r="B26" s="10">
        <f>D26*0.7</f>
        <v/>
      </c>
      <c r="C26" s="10">
        <f>D26*0.035</f>
        <v/>
      </c>
      <c r="D26" s="10" t="n">
        <v>12262</v>
      </c>
      <c r="E26" s="11">
        <f>D26-B26-C26</f>
        <v/>
      </c>
      <c r="F26" s="12">
        <f>E26/D26</f>
        <v/>
      </c>
      <c r="G26" s="13">
        <f>IF(F26&gt;=0.25,"Excelente",IF(F26&gt;=0.15,"Bueno","Bajo"))</f>
        <v/>
      </c>
    </row>
    <row r="27">
      <c r="A27" s="4" t="inlineStr">
        <is>
          <t>Polera MC Lycra Mujer Cottonext 95% Algodón y 5% Lycra 160 Grs Cottonext ELAS1600</t>
        </is>
      </c>
      <c r="B27" s="5">
        <f>D27*0.7</f>
        <v/>
      </c>
      <c r="C27" s="5">
        <f>D27*0.035</f>
        <v/>
      </c>
      <c r="D27" s="5" t="n">
        <v>12262</v>
      </c>
      <c r="E27" s="6">
        <f>D27-B27-C27</f>
        <v/>
      </c>
      <c r="F27" s="7">
        <f>E27/D27</f>
        <v/>
      </c>
      <c r="G27" s="8">
        <f>IF(F27&gt;=0.25,"Excelente",IF(F27&gt;=0.15,"Bueno","Bajo"))</f>
        <v/>
      </c>
    </row>
    <row r="28">
      <c r="A28" s="9" t="inlineStr">
        <is>
          <t>Polera ML Raglan Cottonext 100% Algodón 180 Grs Cottonext Raglan 1800</t>
        </is>
      </c>
      <c r="B28" s="10">
        <f>D28*0.7</f>
        <v/>
      </c>
      <c r="C28" s="10">
        <f>D28*0.035</f>
        <v/>
      </c>
      <c r="D28" s="10" t="n">
        <v>13809</v>
      </c>
      <c r="E28" s="11">
        <f>D28-B28-C28</f>
        <v/>
      </c>
      <c r="F28" s="12">
        <f>E28/D28</f>
        <v/>
      </c>
      <c r="G28" s="13">
        <f>IF(F28&gt;=0.25,"Excelente",IF(F28&gt;=0.15,"Bueno","Bajo"))</f>
        <v/>
      </c>
    </row>
    <row r="29">
      <c r="A29" s="4" t="inlineStr">
        <is>
          <t>Polera ML Raglan Cottonext 100% Algodón 180 Grs Cottonext Raglan 1800</t>
        </is>
      </c>
      <c r="B29" s="5">
        <f>D29*0.7</f>
        <v/>
      </c>
      <c r="C29" s="5">
        <f>D29*0.035</f>
        <v/>
      </c>
      <c r="D29" s="5" t="n">
        <v>13809</v>
      </c>
      <c r="E29" s="6">
        <f>D29-B29-C29</f>
        <v/>
      </c>
      <c r="F29" s="7">
        <f>E29/D29</f>
        <v/>
      </c>
      <c r="G29" s="8">
        <f>IF(F29&gt;=0.25,"Excelente",IF(F29&gt;=0.15,"Bueno","Bajo"))</f>
        <v/>
      </c>
    </row>
    <row r="30">
      <c r="A30" s="9" t="inlineStr">
        <is>
          <t>Polera ML Raglan Cottonext 100% Algodón 180 Grs Cottonext Raglan 1800</t>
        </is>
      </c>
      <c r="B30" s="10">
        <f>D30*0.7</f>
        <v/>
      </c>
      <c r="C30" s="10">
        <f>D30*0.035</f>
        <v/>
      </c>
      <c r="D30" s="10" t="n">
        <v>13809</v>
      </c>
      <c r="E30" s="11">
        <f>D30-B30-C30</f>
        <v/>
      </c>
      <c r="F30" s="12">
        <f>E30/D30</f>
        <v/>
      </c>
      <c r="G30" s="13">
        <f>IF(F30&gt;=0.25,"Excelente",IF(F30&gt;=0.15,"Bueno","Bajo"))</f>
        <v/>
      </c>
    </row>
    <row r="31">
      <c r="A31" s="4" t="inlineStr">
        <is>
          <t>Polera ML Raglan Cottonext 100% Algodón 180 Grs Cottonext Raglan 1800</t>
        </is>
      </c>
      <c r="B31" s="5">
        <f>D31*0.7</f>
        <v/>
      </c>
      <c r="C31" s="5">
        <f>D31*0.035</f>
        <v/>
      </c>
      <c r="D31" s="5" t="n">
        <v>13809</v>
      </c>
      <c r="E31" s="6">
        <f>D31-B31-C31</f>
        <v/>
      </c>
      <c r="F31" s="7">
        <f>E31/D31</f>
        <v/>
      </c>
      <c r="G31" s="8">
        <f>IF(F31&gt;=0.25,"Excelente",IF(F31&gt;=0.15,"Bueno","Bajo"))</f>
        <v/>
      </c>
    </row>
    <row r="32">
      <c r="A32" s="9" t="inlineStr">
        <is>
          <t>Funda Cojín Charpie Sublimable 200 g 40x40 cm tokyo revengers</t>
        </is>
      </c>
      <c r="B32" s="10">
        <f>D32*0.7</f>
        <v/>
      </c>
      <c r="C32" s="10">
        <f>D32*0.035</f>
        <v/>
      </c>
      <c r="D32" s="10" t="n">
        <v>10477</v>
      </c>
      <c r="E32" s="11">
        <f>D32-B32-C32</f>
        <v/>
      </c>
      <c r="F32" s="12">
        <f>E32/D32</f>
        <v/>
      </c>
      <c r="G32" s="13">
        <f>IF(F32&gt;=0.25,"Excelente",IF(F32&gt;=0.15,"Bueno","Bajo"))</f>
        <v/>
      </c>
    </row>
    <row r="33">
      <c r="A33" s="4" t="inlineStr">
        <is>
          <t>Funda De Cojin Tanjiro</t>
        </is>
      </c>
      <c r="B33" s="5">
        <f>D33*0.7</f>
        <v/>
      </c>
      <c r="C33" s="5">
        <f>D33*0.035</f>
        <v/>
      </c>
      <c r="D33" s="5" t="n">
        <v>10477</v>
      </c>
      <c r="E33" s="6">
        <f>D33-B33-C33</f>
        <v/>
      </c>
      <c r="F33" s="7">
        <f>E33/D33</f>
        <v/>
      </c>
      <c r="G33" s="8">
        <f>IF(F33&gt;=0.25,"Excelente",IF(F33&gt;=0.15,"Bueno","Bajo"))</f>
        <v/>
      </c>
    </row>
    <row r="34">
      <c r="A34" s="9" t="inlineStr">
        <is>
          <t>Funda De Cojin spy x family bond</t>
        </is>
      </c>
      <c r="B34" s="10">
        <f>D34*0.7</f>
        <v/>
      </c>
      <c r="C34" s="10">
        <f>D34*0.035</f>
        <v/>
      </c>
      <c r="D34" s="10" t="n">
        <v>10477</v>
      </c>
      <c r="E34" s="11">
        <f>D34-B34-C34</f>
        <v/>
      </c>
      <c r="F34" s="12">
        <f>E34/D34</f>
        <v/>
      </c>
      <c r="G34" s="13">
        <f>IF(F34&gt;=0.25,"Excelente",IF(F34&gt;=0.15,"Bueno","Bajo"))</f>
        <v/>
      </c>
    </row>
    <row r="35">
      <c r="A35" s="4" t="inlineStr">
        <is>
          <t>Funda De Cojin spy x family</t>
        </is>
      </c>
      <c r="B35" s="5">
        <f>D35*0.7</f>
        <v/>
      </c>
      <c r="C35" s="5">
        <f>D35*0.035</f>
        <v/>
      </c>
      <c r="D35" s="5" t="n">
        <v>10477</v>
      </c>
      <c r="E35" s="6">
        <f>D35-B35-C35</f>
        <v/>
      </c>
      <c r="F35" s="7">
        <f>E35/D35</f>
        <v/>
      </c>
      <c r="G35" s="8">
        <f>IF(F35&gt;=0.25,"Excelente",IF(F35&gt;=0.15,"Bueno","Bajo"))</f>
        <v/>
      </c>
    </row>
    <row r="36">
      <c r="A36" s="9" t="inlineStr">
        <is>
          <t>Funda De Cojin sailors</t>
        </is>
      </c>
      <c r="B36" s="10">
        <f>D36*0.7</f>
        <v/>
      </c>
      <c r="C36" s="10">
        <f>D36*0.035</f>
        <v/>
      </c>
      <c r="D36" s="10" t="n">
        <v>10477</v>
      </c>
      <c r="E36" s="11">
        <f>D36-B36-C36</f>
        <v/>
      </c>
      <c r="F36" s="12">
        <f>E36/D36</f>
        <v/>
      </c>
      <c r="G36" s="13">
        <f>IF(F36&gt;=0.25,"Excelente",IF(F36&gt;=0.15,"Bueno","Bajo"))</f>
        <v/>
      </c>
    </row>
    <row r="37">
      <c r="A37" s="4" t="inlineStr">
        <is>
          <t>Funda De Cojin sailor moon</t>
        </is>
      </c>
      <c r="B37" s="5">
        <f>D37*0.7</f>
        <v/>
      </c>
      <c r="C37" s="5">
        <f>D37*0.035</f>
        <v/>
      </c>
      <c r="D37" s="5" t="n">
        <v>10477</v>
      </c>
      <c r="E37" s="6">
        <f>D37-B37-C37</f>
        <v/>
      </c>
      <c r="F37" s="7">
        <f>E37/D37</f>
        <v/>
      </c>
      <c r="G37" s="8">
        <f>IF(F37&gt;=0.25,"Excelente",IF(F37&gt;=0.15,"Bueno","Bajo"))</f>
        <v/>
      </c>
    </row>
    <row r="38">
      <c r="A38" s="9" t="inlineStr">
        <is>
          <t>Funda De Cojin sailor mars</t>
        </is>
      </c>
      <c r="B38" s="10">
        <f>D38*0.7</f>
        <v/>
      </c>
      <c r="C38" s="10">
        <f>D38*0.035</f>
        <v/>
      </c>
      <c r="D38" s="10" t="n">
        <v>10477</v>
      </c>
      <c r="E38" s="11">
        <f>D38-B38-C38</f>
        <v/>
      </c>
      <c r="F38" s="12">
        <f>E38/D38</f>
        <v/>
      </c>
      <c r="G38" s="13">
        <f>IF(F38&gt;=0.25,"Excelente",IF(F38&gt;=0.15,"Bueno","Bajo"))</f>
        <v/>
      </c>
    </row>
    <row r="39">
      <c r="A39" s="4" t="inlineStr">
        <is>
          <t>Funda De Cojin roshi</t>
        </is>
      </c>
      <c r="B39" s="5">
        <f>D39*0.7</f>
        <v/>
      </c>
      <c r="C39" s="5">
        <f>D39*0.035</f>
        <v/>
      </c>
      <c r="D39" s="5" t="n">
        <v>10477</v>
      </c>
      <c r="E39" s="6">
        <f>D39-B39-C39</f>
        <v/>
      </c>
      <c r="F39" s="7">
        <f>E39/D39</f>
        <v/>
      </c>
      <c r="G39" s="8">
        <f>IF(F39&gt;=0.25,"Excelente",IF(F39&gt;=0.15,"Bueno","Bajo"))</f>
        <v/>
      </c>
    </row>
    <row r="40">
      <c r="A40" s="9" t="inlineStr">
        <is>
          <t>Funda De Cojin pilar</t>
        </is>
      </c>
      <c r="B40" s="10">
        <f>D40*0.7</f>
        <v/>
      </c>
      <c r="C40" s="10">
        <f>D40*0.035</f>
        <v/>
      </c>
      <c r="D40" s="10" t="n">
        <v>10477</v>
      </c>
      <c r="E40" s="11">
        <f>D40-B40-C40</f>
        <v/>
      </c>
      <c r="F40" s="12">
        <f>E40/D40</f>
        <v/>
      </c>
      <c r="G40" s="13">
        <f>IF(F40&gt;=0.25,"Excelente",IF(F40&gt;=0.15,"Bueno","Bajo"))</f>
        <v/>
      </c>
    </row>
    <row r="41">
      <c r="A41" s="4" t="inlineStr">
        <is>
          <t>Funda De Cojin pikachu</t>
        </is>
      </c>
      <c r="B41" s="5">
        <f>D41*0.7</f>
        <v/>
      </c>
      <c r="C41" s="5">
        <f>D41*0.035</f>
        <v/>
      </c>
      <c r="D41" s="5" t="n">
        <v>10477</v>
      </c>
      <c r="E41" s="6">
        <f>D41-B41-C41</f>
        <v/>
      </c>
      <c r="F41" s="7">
        <f>E41/D41</f>
        <v/>
      </c>
      <c r="G41" s="8">
        <f>IF(F41&gt;=0.25,"Excelente",IF(F41&gt;=0.15,"Bueno","Bajo"))</f>
        <v/>
      </c>
    </row>
    <row r="42">
      <c r="A42" s="9" t="inlineStr">
        <is>
          <t>Funda De Cojin nezuko demonio</t>
        </is>
      </c>
      <c r="B42" s="10">
        <f>D42*0.7</f>
        <v/>
      </c>
      <c r="C42" s="10">
        <f>D42*0.035</f>
        <v/>
      </c>
      <c r="D42" s="10" t="n">
        <v>10477</v>
      </c>
      <c r="E42" s="11">
        <f>D42-B42-C42</f>
        <v/>
      </c>
      <c r="F42" s="12">
        <f>E42/D42</f>
        <v/>
      </c>
      <c r="G42" s="13">
        <f>IF(F42&gt;=0.25,"Excelente",IF(F42&gt;=0.15,"Bueno","Bajo"))</f>
        <v/>
      </c>
    </row>
    <row r="43">
      <c r="A43" s="4" t="inlineStr">
        <is>
          <t>Funda De Cojin Papá naruto</t>
        </is>
      </c>
      <c r="B43" s="5">
        <f>D43*0.7</f>
        <v/>
      </c>
      <c r="C43" s="5">
        <f>D43*0.035</f>
        <v/>
      </c>
      <c r="D43" s="5" t="n">
        <v>10477</v>
      </c>
      <c r="E43" s="6">
        <f>D43-B43-C43</f>
        <v/>
      </c>
      <c r="F43" s="7">
        <f>E43/D43</f>
        <v/>
      </c>
      <c r="G43" s="8">
        <f>IF(F43&gt;=0.25,"Excelente",IF(F43&gt;=0.15,"Bueno","Bajo"))</f>
        <v/>
      </c>
    </row>
    <row r="44">
      <c r="A44" s="9" t="inlineStr">
        <is>
          <t>Funda De Cojin MAJIN BOO</t>
        </is>
      </c>
      <c r="B44" s="10">
        <f>D44*0.7</f>
        <v/>
      </c>
      <c r="C44" s="10">
        <f>D44*0.035</f>
        <v/>
      </c>
      <c r="D44" s="10" t="n">
        <v>10477</v>
      </c>
      <c r="E44" s="11">
        <f>D44-B44-C44</f>
        <v/>
      </c>
      <c r="F44" s="12">
        <f>E44/D44</f>
        <v/>
      </c>
      <c r="G44" s="13">
        <f>IF(F44&gt;=0.25,"Excelente",IF(F44&gt;=0.15,"Bueno","Bajo"))</f>
        <v/>
      </c>
    </row>
    <row r="45">
      <c r="A45" s="4" t="inlineStr">
        <is>
          <t>Funda De Cojin Luffy</t>
        </is>
      </c>
      <c r="B45" s="5">
        <f>D45*0.7</f>
        <v/>
      </c>
      <c r="C45" s="5">
        <f>D45*0.035</f>
        <v/>
      </c>
      <c r="D45" s="5" t="n">
        <v>10477</v>
      </c>
      <c r="E45" s="6">
        <f>D45-B45-C45</f>
        <v/>
      </c>
      <c r="F45" s="7">
        <f>E45/D45</f>
        <v/>
      </c>
      <c r="G45" s="8">
        <f>IF(F45&gt;=0.25,"Excelente",IF(F45&gt;=0.15,"Bueno","Bajo"))</f>
        <v/>
      </c>
    </row>
    <row r="46">
      <c r="A46" s="9" t="inlineStr">
        <is>
          <t>Funda De Cojin charmander</t>
        </is>
      </c>
      <c r="B46" s="10">
        <f>D46*0.7</f>
        <v/>
      </c>
      <c r="C46" s="10">
        <f>D46*0.035</f>
        <v/>
      </c>
      <c r="D46" s="10" t="n">
        <v>10477</v>
      </c>
      <c r="E46" s="11">
        <f>D46-B46-C46</f>
        <v/>
      </c>
      <c r="F46" s="12">
        <f>E46/D46</f>
        <v/>
      </c>
      <c r="G46" s="13">
        <f>IF(F46&gt;=0.25,"Excelente",IF(F46&gt;=0.15,"Bueno","Bajo"))</f>
        <v/>
      </c>
    </row>
    <row r="47">
      <c r="A47" s="4" t="inlineStr">
        <is>
          <t>Funda De Cojin akaza</t>
        </is>
      </c>
      <c r="B47" s="5">
        <f>D47*0.7</f>
        <v/>
      </c>
      <c r="C47" s="5">
        <f>D47*0.035</f>
        <v/>
      </c>
      <c r="D47" s="5" t="n">
        <v>10477</v>
      </c>
      <c r="E47" s="6">
        <f>D47-B47-C47</f>
        <v/>
      </c>
      <c r="F47" s="7">
        <f>E47/D47</f>
        <v/>
      </c>
      <c r="G47" s="8">
        <f>IF(F47&gt;=0.25,"Excelente",IF(F47&gt;=0.15,"Bueno","Bajo"))</f>
        <v/>
      </c>
    </row>
    <row r="48">
      <c r="A48" s="9" t="inlineStr">
        <is>
          <t>Funda De Cojin ahegao</t>
        </is>
      </c>
      <c r="B48" s="10">
        <f>D48*0.7</f>
        <v/>
      </c>
      <c r="C48" s="10">
        <f>D48*0.035</f>
        <v/>
      </c>
      <c r="D48" s="10" t="n">
        <v>10477</v>
      </c>
      <c r="E48" s="11">
        <f>D48-B48-C48</f>
        <v/>
      </c>
      <c r="F48" s="12">
        <f>E48/D48</f>
        <v/>
      </c>
      <c r="G48" s="13">
        <f>IF(F48&gt;=0.25,"Excelente",IF(F48&gt;=0.15,"Bueno","Bajo"))</f>
        <v/>
      </c>
    </row>
    <row r="49">
      <c r="A49" s="4" t="inlineStr">
        <is>
          <t>Polera Akaza (Demon Slayer)</t>
        </is>
      </c>
      <c r="B49" s="5">
        <f>D49*0.7</f>
        <v/>
      </c>
      <c r="C49" s="5">
        <f>D49*0.035</f>
        <v/>
      </c>
      <c r="D49" s="5" t="n">
        <v>13571</v>
      </c>
      <c r="E49" s="6">
        <f>D49-B49-C49</f>
        <v/>
      </c>
      <c r="F49" s="7">
        <f>E49/D49</f>
        <v/>
      </c>
      <c r="G49" s="8">
        <f>IF(F49&gt;=0.25,"Excelente",IF(F49&gt;=0.15,"Bueno","Bajo"))</f>
        <v/>
      </c>
    </row>
    <row r="50">
      <c r="A50" s="9" t="inlineStr">
        <is>
          <t>Polera Fighter rabbit efecto cuero</t>
        </is>
      </c>
      <c r="B50" s="10">
        <f>D50*0.7</f>
        <v/>
      </c>
      <c r="C50" s="10">
        <f>D50*0.035</f>
        <v/>
      </c>
      <c r="D50" s="10" t="n">
        <v>13571</v>
      </c>
      <c r="E50" s="11">
        <f>D50-B50-C50</f>
        <v/>
      </c>
      <c r="F50" s="12">
        <f>E50/D50</f>
        <v/>
      </c>
      <c r="G50" s="13">
        <f>IF(F50&gt;=0.25,"Excelente",IF(F50&gt;=0.15,"Bueno","Bajo"))</f>
        <v/>
      </c>
    </row>
    <row r="51">
      <c r="A51" s="4" t="inlineStr">
        <is>
          <t>Polera Fuck Wars</t>
        </is>
      </c>
      <c r="B51" s="5">
        <f>D51*0.7</f>
        <v/>
      </c>
      <c r="C51" s="5">
        <f>D51*0.035</f>
        <v/>
      </c>
      <c r="D51" s="5" t="n">
        <v>13571</v>
      </c>
      <c r="E51" s="6">
        <f>D51-B51-C51</f>
        <v/>
      </c>
      <c r="F51" s="7">
        <f>E51/D51</f>
        <v/>
      </c>
      <c r="G51" s="8">
        <f>IF(F51&gt;=0.25,"Excelente",IF(F51&gt;=0.15,"Bueno","Bajo"))</f>
        <v/>
      </c>
    </row>
    <row r="52">
      <c r="A52" s="9" t="inlineStr">
        <is>
          <t>Polera Jason Voorhees</t>
        </is>
      </c>
      <c r="B52" s="10">
        <f>D52*0.7</f>
        <v/>
      </c>
      <c r="C52" s="10">
        <f>D52*0.035</f>
        <v/>
      </c>
      <c r="D52" s="10" t="n">
        <v>13571</v>
      </c>
      <c r="E52" s="11">
        <f>D52-B52-C52</f>
        <v/>
      </c>
      <c r="F52" s="12">
        <f>E52/D52</f>
        <v/>
      </c>
      <c r="G52" s="13">
        <f>IF(F52&gt;=0.25,"Excelente",IF(F52&gt;=0.15,"Bueno","Bajo"))</f>
        <v/>
      </c>
    </row>
    <row r="53">
      <c r="A53" s="4" t="inlineStr">
        <is>
          <t>Polera Lord Sith</t>
        </is>
      </c>
      <c r="B53" s="5">
        <f>D53*0.7</f>
        <v/>
      </c>
      <c r="C53" s="5">
        <f>D53*0.035</f>
        <v/>
      </c>
      <c r="D53" s="5" t="n">
        <v>13571</v>
      </c>
      <c r="E53" s="6">
        <f>D53-B53-C53</f>
        <v/>
      </c>
      <c r="F53" s="7">
        <f>E53/D53</f>
        <v/>
      </c>
      <c r="G53" s="8">
        <f>IF(F53&gt;=0.25,"Excelente",IF(F53&gt;=0.15,"Bueno","Bajo"))</f>
        <v/>
      </c>
    </row>
    <row r="54">
      <c r="A54" s="9" t="inlineStr">
        <is>
          <t>Polera Medusa Styloo</t>
        </is>
      </c>
      <c r="B54" s="10">
        <f>D54*0.7</f>
        <v/>
      </c>
      <c r="C54" s="10">
        <f>D54*0.035</f>
        <v/>
      </c>
      <c r="D54" s="10" t="n">
        <v>13571</v>
      </c>
      <c r="E54" s="11">
        <f>D54-B54-C54</f>
        <v/>
      </c>
      <c r="F54" s="12">
        <f>E54/D54</f>
        <v/>
      </c>
      <c r="G54" s="13">
        <f>IF(F54&gt;=0.25,"Excelente",IF(F54&gt;=0.15,"Bueno","Bajo"))</f>
        <v/>
      </c>
    </row>
    <row r="55">
      <c r="A55" s="4" t="inlineStr">
        <is>
          <t>Polera Nezuco Kamado</t>
        </is>
      </c>
      <c r="B55" s="5">
        <f>D55*0.7</f>
        <v/>
      </c>
      <c r="C55" s="5">
        <f>D55*0.035</f>
        <v/>
      </c>
      <c r="D55" s="5" t="n">
        <v>13571</v>
      </c>
      <c r="E55" s="6">
        <f>D55-B55-C55</f>
        <v/>
      </c>
      <c r="F55" s="7">
        <f>E55/D55</f>
        <v/>
      </c>
      <c r="G55" s="8">
        <f>IF(F55&gt;=0.25,"Excelente",IF(F55&gt;=0.15,"Bueno","Bajo"))</f>
        <v/>
      </c>
    </row>
    <row r="56">
      <c r="A56" s="9" t="inlineStr">
        <is>
          <t>Polera Hombre algodón Orgánico king</t>
        </is>
      </c>
      <c r="B56" s="10">
        <f>D56*0.7</f>
        <v/>
      </c>
      <c r="C56" s="10">
        <f>D56*0.035</f>
        <v/>
      </c>
      <c r="D56" s="10" t="n">
        <v>13571</v>
      </c>
      <c r="E56" s="11">
        <f>D56-B56-C56</f>
        <v/>
      </c>
      <c r="F56" s="12">
        <f>E56/D56</f>
        <v/>
      </c>
      <c r="G56" s="13">
        <f>IF(F56&gt;=0.25,"Excelente",IF(F56&gt;=0.15,"Bueno","Bajo"))</f>
        <v/>
      </c>
    </row>
    <row r="57">
      <c r="A57" s="4" t="inlineStr">
        <is>
          <t>Polera Hombre algodón Orgánico Noise</t>
        </is>
      </c>
      <c r="B57" s="5">
        <f>D57*0.7</f>
        <v/>
      </c>
      <c r="C57" s="5">
        <f>D57*0.035</f>
        <v/>
      </c>
      <c r="D57" s="5" t="n">
        <v>13571</v>
      </c>
      <c r="E57" s="6">
        <f>D57-B57-C57</f>
        <v/>
      </c>
      <c r="F57" s="7">
        <f>E57/D57</f>
        <v/>
      </c>
      <c r="G57" s="8">
        <f>IF(F57&gt;=0.25,"Excelente",IF(F57&gt;=0.15,"Bueno","Bajo"))</f>
        <v/>
      </c>
    </row>
    <row r="58">
      <c r="A58" s="9" t="inlineStr">
        <is>
          <t>Mochila multiusos Cocodrilo</t>
        </is>
      </c>
      <c r="B58" s="10">
        <f>D58*0.7</f>
        <v/>
      </c>
      <c r="C58" s="10">
        <f>D58*0.035</f>
        <v/>
      </c>
      <c r="D58" s="10" t="n">
        <v>11227</v>
      </c>
      <c r="E58" s="11">
        <f>D58-B58-C58</f>
        <v/>
      </c>
      <c r="F58" s="12">
        <f>E58/D58</f>
        <v/>
      </c>
      <c r="G58" s="13">
        <f>IF(F58&gt;=0.25,"Excelente",IF(F58&gt;=0.15,"Bueno","Bajo"))</f>
        <v/>
      </c>
    </row>
    <row r="59">
      <c r="A59" s="4" t="inlineStr">
        <is>
          <t>Mochila multiusos Panda</t>
        </is>
      </c>
      <c r="B59" s="5">
        <f>D59*0.7</f>
        <v/>
      </c>
      <c r="C59" s="5">
        <f>D59*0.035</f>
        <v/>
      </c>
      <c r="D59" s="5" t="n">
        <v>11227</v>
      </c>
      <c r="E59" s="6">
        <f>D59-B59-C59</f>
        <v/>
      </c>
      <c r="F59" s="7">
        <f>E59/D59</f>
        <v/>
      </c>
      <c r="G59" s="8">
        <f>IF(F59&gt;=0.25,"Excelente",IF(F59&gt;=0.15,"Bueno","Bajo"))</f>
        <v/>
      </c>
    </row>
    <row r="60">
      <c r="A60" s="9" t="inlineStr">
        <is>
          <t>Mochila multiusos Zenitsu</t>
        </is>
      </c>
      <c r="B60" s="10">
        <f>D60*0.7</f>
        <v/>
      </c>
      <c r="C60" s="10">
        <f>D60*0.035</f>
        <v/>
      </c>
      <c r="D60" s="10" t="n">
        <v>11227</v>
      </c>
      <c r="E60" s="11">
        <f>D60-B60-C60</f>
        <v/>
      </c>
      <c r="F60" s="12">
        <f>E60/D60</f>
        <v/>
      </c>
      <c r="G60" s="13">
        <f>IF(F60&gt;=0.25,"Excelente",IF(F60&gt;=0.15,"Bueno","Bajo"))</f>
        <v/>
      </c>
    </row>
    <row r="61">
      <c r="A61" s="4" t="inlineStr">
        <is>
          <t>Bolsa Crudo Algodón</t>
        </is>
      </c>
      <c r="B61" s="5">
        <f>D61*0.7</f>
        <v/>
      </c>
      <c r="C61" s="5">
        <f>D61*0.035</f>
        <v/>
      </c>
      <c r="D61" s="5" t="n">
        <v>11227</v>
      </c>
      <c r="E61" s="6">
        <f>D61-B61-C61</f>
        <v/>
      </c>
      <c r="F61" s="7">
        <f>E61/D61</f>
        <v/>
      </c>
      <c r="G61" s="8">
        <f>IF(F61&gt;=0.25,"Excelente",IF(F61&gt;=0.15,"Bueno","Bajo"))</f>
        <v/>
      </c>
    </row>
    <row r="62">
      <c r="A62" s="9" t="inlineStr">
        <is>
          <t>Alfombrilla Game Pad</t>
        </is>
      </c>
      <c r="B62" s="10">
        <f>D62*0.7</f>
        <v/>
      </c>
      <c r="C62" s="10">
        <f>D62*0.035</f>
        <v/>
      </c>
      <c r="D62" s="10" t="n">
        <v>15130</v>
      </c>
      <c r="E62" s="11">
        <f>D62-B62-C62</f>
        <v/>
      </c>
      <c r="F62" s="12">
        <f>E62/D62</f>
        <v/>
      </c>
      <c r="G62" s="13">
        <f>IF(F62&gt;=0.25,"Excelente",IF(F62&gt;=0.15,"Bueno","Bajo"))</f>
        <v/>
      </c>
    </row>
    <row r="63">
      <c r="A63" s="4" t="inlineStr">
        <is>
          <t>Botella de Aluminio Tapa Rosca 850 ml</t>
        </is>
      </c>
      <c r="B63" s="5">
        <f>D63*0.7</f>
        <v/>
      </c>
      <c r="C63" s="5">
        <f>D63*0.035</f>
        <v/>
      </c>
      <c r="D63" s="5" t="n">
        <v>14011</v>
      </c>
      <c r="E63" s="6">
        <f>D63-B63-C63</f>
        <v/>
      </c>
      <c r="F63" s="7">
        <f>E63/D63</f>
        <v/>
      </c>
      <c r="G63" s="8">
        <f>IF(F63&gt;=0.25,"Excelente",IF(F63&gt;=0.15,"Bueno","Bajo"))</f>
        <v/>
      </c>
    </row>
    <row r="64">
      <c r="A64" s="9" t="inlineStr">
        <is>
          <t>Calcetín Mediano</t>
        </is>
      </c>
      <c r="B64" s="10">
        <f>D64*0.7</f>
        <v/>
      </c>
      <c r="C64" s="10">
        <f>D64*0.035</f>
        <v/>
      </c>
      <c r="D64" s="10" t="n">
        <v>14178</v>
      </c>
      <c r="E64" s="11">
        <f>D64-B64-C64</f>
        <v/>
      </c>
      <c r="F64" s="12">
        <f>E64/D64</f>
        <v/>
      </c>
      <c r="G64" s="13">
        <f>IF(F64&gt;=0.25,"Excelente",IF(F64&gt;=0.15,"Bueno","Bajo"))</f>
        <v/>
      </c>
    </row>
    <row r="65">
      <c r="A65" s="4" t="inlineStr">
        <is>
          <t>Collar Bandana Para Mascota Talla L</t>
        </is>
      </c>
      <c r="B65" s="5">
        <f>D65*0.7</f>
        <v/>
      </c>
      <c r="C65" s="5">
        <f>D65*0.035</f>
        <v/>
      </c>
      <c r="D65" s="5" t="n">
        <v>13464</v>
      </c>
      <c r="E65" s="6">
        <f>D65-B65-C65</f>
        <v/>
      </c>
      <c r="F65" s="7">
        <f>E65/D65</f>
        <v/>
      </c>
      <c r="G65" s="8">
        <f>IF(F65&gt;=0.25,"Excelente",IF(F65&gt;=0.15,"Bueno","Bajo"))</f>
        <v/>
      </c>
    </row>
    <row r="66">
      <c r="A66" s="9" t="inlineStr">
        <is>
          <t>Cuello Multifuncional</t>
        </is>
      </c>
      <c r="B66" s="10">
        <f>D66*0.7</f>
        <v/>
      </c>
      <c r="C66" s="10">
        <f>D66*0.035</f>
        <v/>
      </c>
      <c r="D66" s="10" t="n">
        <v>12155</v>
      </c>
      <c r="E66" s="11">
        <f>D66-B66-C66</f>
        <v/>
      </c>
      <c r="F66" s="12">
        <f>E66/D66</f>
        <v/>
      </c>
      <c r="G66" s="13">
        <f>IF(F66&gt;=0.25,"Excelente",IF(F66&gt;=0.15,"Bueno","Bajo"))</f>
        <v/>
      </c>
    </row>
    <row r="67">
      <c r="A67" s="4" t="inlineStr">
        <is>
          <t>Funda Almohada Charpie 50x70 cm</t>
        </is>
      </c>
      <c r="B67" s="5">
        <f>D67*0.7</f>
        <v/>
      </c>
      <c r="C67" s="5">
        <f>D67*0.035</f>
        <v/>
      </c>
      <c r="D67" s="5" t="n">
        <v>14059</v>
      </c>
      <c r="E67" s="6">
        <f>D67-B67-C67</f>
        <v/>
      </c>
      <c r="F67" s="7">
        <f>E67/D67</f>
        <v/>
      </c>
      <c r="G67" s="8">
        <f>IF(F67&gt;=0.25,"Excelente",IF(F67&gt;=0.15,"Bueno","Bajo"))</f>
        <v/>
      </c>
    </row>
    <row r="68">
      <c r="A68" s="9" t="inlineStr">
        <is>
          <t>Llavero Rectangular 40x76 mm</t>
        </is>
      </c>
      <c r="B68" s="10">
        <f>D68*0.7</f>
        <v/>
      </c>
      <c r="C68" s="10">
        <f>D68*0.035</f>
        <v/>
      </c>
      <c r="D68" s="10" t="n">
        <v>7036</v>
      </c>
      <c r="E68" s="11">
        <f>D68-B68-C68</f>
        <v/>
      </c>
      <c r="F68" s="12">
        <f>E68/D68</f>
        <v/>
      </c>
      <c r="G68" s="13">
        <f>IF(F68&gt;=0.25,"Excelente",IF(F68&gt;=0.15,"Bueno","Bajo"))</f>
        <v/>
      </c>
    </row>
    <row r="69">
      <c r="A69" s="4" t="inlineStr">
        <is>
          <t>Mochila Resistente Al Agua</t>
        </is>
      </c>
      <c r="B69" s="5">
        <f>D69*0.7</f>
        <v/>
      </c>
      <c r="C69" s="5">
        <f>D69*0.035</f>
        <v/>
      </c>
      <c r="D69" s="5" t="n">
        <v>15130</v>
      </c>
      <c r="E69" s="6">
        <f>D69-B69-C69</f>
        <v/>
      </c>
      <c r="F69" s="7">
        <f>E69/D69</f>
        <v/>
      </c>
      <c r="G69" s="8">
        <f>IF(F69&gt;=0.25,"Excelente",IF(F69&gt;=0.15,"Bueno","Bajo"))</f>
        <v/>
      </c>
    </row>
    <row r="70">
      <c r="A70" s="9" t="inlineStr">
        <is>
          <t>Placa Identificadora Mascota</t>
        </is>
      </c>
      <c r="B70" s="10">
        <f>D70*0.7</f>
        <v/>
      </c>
      <c r="C70" s="10">
        <f>D70*0.035</f>
        <v/>
      </c>
      <c r="D70" s="10" t="n">
        <v>7036</v>
      </c>
      <c r="E70" s="11">
        <f>D70-B70-C70</f>
        <v/>
      </c>
      <c r="F70" s="12">
        <f>E70/D70</f>
        <v/>
      </c>
      <c r="G70" s="13">
        <f>IF(F70&gt;=0.25,"Excelente",IF(F70&gt;=0.15,"Bueno","Bajo"))</f>
        <v/>
      </c>
    </row>
    <row r="71">
      <c r="A71" s="4" t="inlineStr">
        <is>
          <t>Tazón Interior y Mango Color 11 oz</t>
        </is>
      </c>
      <c r="B71" s="5">
        <f>D71*0.7</f>
        <v/>
      </c>
      <c r="C71" s="5">
        <f>D71*0.035</f>
        <v/>
      </c>
      <c r="D71" s="5" t="n">
        <v>13940</v>
      </c>
      <c r="E71" s="6">
        <f>D71-B71-C71</f>
        <v/>
      </c>
      <c r="F71" s="7">
        <f>E71/D71</f>
        <v/>
      </c>
      <c r="G71" s="8">
        <f>IF(F71&gt;=0.25,"Excelente",IF(F71&gt;=0.15,"Bueno","Bajo"))</f>
        <v/>
      </c>
    </row>
    <row r="72">
      <c r="A72" s="9" t="inlineStr">
        <is>
          <t>Tazón Premium Color Celeste</t>
        </is>
      </c>
      <c r="B72" s="10">
        <f>D72*0.7</f>
        <v/>
      </c>
      <c r="C72" s="10">
        <f>D72*0.035</f>
        <v/>
      </c>
      <c r="D72" s="10" t="n">
        <v>13821</v>
      </c>
      <c r="E72" s="11">
        <f>D72-B72-C72</f>
        <v/>
      </c>
      <c r="F72" s="12">
        <f>E72/D72</f>
        <v/>
      </c>
      <c r="G72" s="13">
        <f>IF(F72&gt;=0.25,"Excelente",IF(F72&gt;=0.15,"Bueno","Bajo"))</f>
        <v/>
      </c>
    </row>
    <row r="73">
      <c r="A73" s="4" t="inlineStr">
        <is>
          <t>Polera Hombre golden</t>
        </is>
      </c>
      <c r="B73" s="5">
        <f>D73*0.7</f>
        <v/>
      </c>
      <c r="C73" s="5">
        <f>D73*0.035</f>
        <v/>
      </c>
      <c r="D73" s="5" t="n">
        <v>13928</v>
      </c>
      <c r="E73" s="6">
        <f>D73-B73-C73</f>
        <v/>
      </c>
      <c r="F73" s="7">
        <f>E73/D73</f>
        <v/>
      </c>
      <c r="G73" s="8">
        <f>IF(F73&gt;=0.25,"Excelente",IF(F73&gt;=0.15,"Bueno","Bajo"))</f>
        <v/>
      </c>
    </row>
    <row r="74">
      <c r="A74" s="9" t="inlineStr">
        <is>
          <t>Polera Mujer Rosa claro</t>
        </is>
      </c>
      <c r="B74" s="10">
        <f>D74*0.7</f>
        <v/>
      </c>
      <c r="C74" s="10">
        <f>D74*0.035</f>
        <v/>
      </c>
      <c r="D74" s="10" t="n">
        <v>12714</v>
      </c>
      <c r="E74" s="11">
        <f>D74-B74-C74</f>
        <v/>
      </c>
      <c r="F74" s="12">
        <f>E74/D74</f>
        <v/>
      </c>
      <c r="G74" s="13">
        <f>IF(F74&gt;=0.25,"Excelente",IF(F74&gt;=0.15,"Bueno","Bajo"))</f>
        <v/>
      </c>
    </row>
    <row r="75">
      <c r="A75" s="4" t="inlineStr">
        <is>
          <t>Poleron Bicolor Mujer</t>
        </is>
      </c>
      <c r="B75" s="5">
        <f>D75*0.7</f>
        <v/>
      </c>
      <c r="C75" s="5">
        <f>D75*0.035</f>
        <v/>
      </c>
      <c r="D75" s="5" t="n">
        <v>21080</v>
      </c>
      <c r="E75" s="6">
        <f>D75-B75-C75</f>
        <v/>
      </c>
      <c r="F75" s="7">
        <f>E75/D75</f>
        <v/>
      </c>
      <c r="G75" s="8">
        <f>IF(F75&gt;=0.25,"Excelente",IF(F75&gt;=0.15,"Bueno","Bajo"))</f>
        <v/>
      </c>
    </row>
    <row r="76">
      <c r="A76" s="9" t="inlineStr">
        <is>
          <t>Polerón Hombre Capucha bicolor o cierre</t>
        </is>
      </c>
      <c r="B76" s="10">
        <f>D76*0.7</f>
        <v/>
      </c>
      <c r="C76" s="10">
        <f>D76*0.035</f>
        <v/>
      </c>
      <c r="D76" s="10" t="n">
        <v>21080</v>
      </c>
      <c r="E76" s="11">
        <f>D76-B76-C76</f>
        <v/>
      </c>
      <c r="F76" s="12">
        <f>E76/D76</f>
        <v/>
      </c>
      <c r="G76" s="13">
        <f>IF(F76&gt;=0.25,"Excelente",IF(F76&gt;=0.15,"Bueno","Bajo"))</f>
        <v/>
      </c>
    </row>
    <row r="77">
      <c r="A77" s="4" t="inlineStr">
        <is>
          <t>Bermuda Sport 2026</t>
        </is>
      </c>
      <c r="B77" s="5">
        <f>D77*0.7</f>
        <v/>
      </c>
      <c r="C77" s="5">
        <f>D77*0.035</f>
        <v/>
      </c>
      <c r="D77" s="5" t="n">
        <v>17748</v>
      </c>
      <c r="E77" s="6">
        <f>D77-B77-C77</f>
        <v/>
      </c>
      <c r="F77" s="7">
        <f>E77/D77</f>
        <v/>
      </c>
      <c r="G77" s="8">
        <f>IF(F77&gt;=0.25,"Excelente",IF(F77&gt;=0.15,"Bueno","Bajo"))</f>
        <v/>
      </c>
    </row>
    <row r="78">
      <c r="A78" s="9" t="inlineStr">
        <is>
          <t>Falda pantalón</t>
        </is>
      </c>
      <c r="B78" s="10">
        <f>D78*0.7</f>
        <v/>
      </c>
      <c r="C78" s="10">
        <f>D78*0.035</f>
        <v/>
      </c>
      <c r="D78" s="10" t="n">
        <v>19890</v>
      </c>
      <c r="E78" s="11">
        <f>D78-B78-C78</f>
        <v/>
      </c>
      <c r="F78" s="12">
        <f>E78/D78</f>
        <v/>
      </c>
      <c r="G78" s="13">
        <f>IF(F78&gt;=0.25,"Excelente",IF(F78&gt;=0.15,"Bueno","Bajo"))</f>
        <v/>
      </c>
    </row>
    <row r="79">
      <c r="A79" s="4" t="inlineStr">
        <is>
          <t>Lamina DTF impresa A4</t>
        </is>
      </c>
      <c r="B79" s="5">
        <f>D79*0.7</f>
        <v/>
      </c>
      <c r="C79" s="5">
        <f>D79*0.035</f>
        <v/>
      </c>
      <c r="D79" s="5" t="n">
        <v>12236</v>
      </c>
      <c r="E79" s="6">
        <f>D79-B79-C79</f>
        <v/>
      </c>
      <c r="F79" s="7">
        <f>E79/D79</f>
        <v/>
      </c>
      <c r="G79" s="8">
        <f>IF(F79&gt;=0.25,"Excelente",IF(F79&gt;=0.15,"Bueno","Bajo"))</f>
        <v/>
      </c>
    </row>
    <row r="81">
      <c r="A81" s="14" t="inlineStr">
        <is>
          <t>Promedio General / Totales</t>
        </is>
      </c>
      <c r="B81" s="15">
        <f>AVERAGE(B5:B79)</f>
        <v/>
      </c>
      <c r="C81" s="15">
        <f>AVERAGE(C5:C79)</f>
        <v/>
      </c>
      <c r="D81" s="15">
        <f>AVERAGE(D5:D79)</f>
        <v/>
      </c>
      <c r="E81" s="15">
        <f>AVERAGE(E5:E79)</f>
        <v/>
      </c>
      <c r="F81" s="16">
        <f>AVERAGE(F5:F79)</f>
        <v/>
      </c>
      <c r="G81" s="17" t="n"/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2026-09-07T14:49:33Z</dcterms:created>
  <dcterms:modified xmlns:dcterms="http://purl.org/dc/terms/" xmlns:xsi="http://www.w3.org/2001/XMLSchema-instance" xsi:type="dcterms:W3CDTF">2026-09-07T14:49:33Z</dcterms:modified>
</cp:coreProperties>
</file>