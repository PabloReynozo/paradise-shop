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aradise Shop.cl\"/>
    </mc:Choice>
  </mc:AlternateContent>
  <xr:revisionPtr revIDLastSave="0" documentId="13_ncr:1_{EA0F56FC-9B8C-45DD-BCF4-75DA9DC9750D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Análisis Margen Shopify 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" l="1"/>
  <c r="B81" i="1"/>
  <c r="C79" i="1"/>
  <c r="E79" i="1" s="1"/>
  <c r="F79" i="1" s="1"/>
  <c r="G79" i="1" s="1"/>
  <c r="C78" i="1"/>
  <c r="E78" i="1" s="1"/>
  <c r="F78" i="1" s="1"/>
  <c r="G78" i="1" s="1"/>
  <c r="C77" i="1"/>
  <c r="E77" i="1" s="1"/>
  <c r="F77" i="1" s="1"/>
  <c r="G77" i="1" s="1"/>
  <c r="C76" i="1"/>
  <c r="E76" i="1" s="1"/>
  <c r="F76" i="1" s="1"/>
  <c r="G76" i="1" s="1"/>
  <c r="C75" i="1"/>
  <c r="E75" i="1" s="1"/>
  <c r="F75" i="1" s="1"/>
  <c r="G75" i="1" s="1"/>
  <c r="C74" i="1"/>
  <c r="E74" i="1" s="1"/>
  <c r="F74" i="1" s="1"/>
  <c r="G74" i="1" s="1"/>
  <c r="C73" i="1"/>
  <c r="E73" i="1" s="1"/>
  <c r="F73" i="1" s="1"/>
  <c r="G73" i="1" s="1"/>
  <c r="C72" i="1"/>
  <c r="E72" i="1" s="1"/>
  <c r="F72" i="1" s="1"/>
  <c r="G72" i="1" s="1"/>
  <c r="C71" i="1"/>
  <c r="E71" i="1" s="1"/>
  <c r="F71" i="1" s="1"/>
  <c r="G71" i="1" s="1"/>
  <c r="C70" i="1"/>
  <c r="E70" i="1" s="1"/>
  <c r="F70" i="1" s="1"/>
  <c r="G70" i="1" s="1"/>
  <c r="C69" i="1"/>
  <c r="E69" i="1" s="1"/>
  <c r="F69" i="1" s="1"/>
  <c r="G69" i="1" s="1"/>
  <c r="C68" i="1"/>
  <c r="E68" i="1" s="1"/>
  <c r="F68" i="1" s="1"/>
  <c r="G68" i="1" s="1"/>
  <c r="C67" i="1"/>
  <c r="E67" i="1" s="1"/>
  <c r="F67" i="1" s="1"/>
  <c r="G67" i="1" s="1"/>
  <c r="F66" i="1"/>
  <c r="G66" i="1" s="1"/>
  <c r="C66" i="1"/>
  <c r="E66" i="1" s="1"/>
  <c r="C65" i="1"/>
  <c r="E65" i="1" s="1"/>
  <c r="F65" i="1" s="1"/>
  <c r="G65" i="1" s="1"/>
  <c r="F64" i="1"/>
  <c r="G64" i="1" s="1"/>
  <c r="C64" i="1"/>
  <c r="E64" i="1" s="1"/>
  <c r="F63" i="1"/>
  <c r="G63" i="1" s="1"/>
  <c r="C63" i="1"/>
  <c r="E63" i="1" s="1"/>
  <c r="F62" i="1"/>
  <c r="G62" i="1" s="1"/>
  <c r="C62" i="1"/>
  <c r="E62" i="1" s="1"/>
  <c r="F61" i="1"/>
  <c r="G61" i="1" s="1"/>
  <c r="C61" i="1"/>
  <c r="E61" i="1" s="1"/>
  <c r="F60" i="1"/>
  <c r="G60" i="1" s="1"/>
  <c r="C60" i="1"/>
  <c r="E60" i="1" s="1"/>
  <c r="F59" i="1"/>
  <c r="G59" i="1" s="1"/>
  <c r="C59" i="1"/>
  <c r="E59" i="1" s="1"/>
  <c r="F58" i="1"/>
  <c r="G58" i="1" s="1"/>
  <c r="C58" i="1"/>
  <c r="E58" i="1" s="1"/>
  <c r="F57" i="1"/>
  <c r="G57" i="1" s="1"/>
  <c r="C57" i="1"/>
  <c r="E57" i="1" s="1"/>
  <c r="F56" i="1"/>
  <c r="G56" i="1" s="1"/>
  <c r="C56" i="1"/>
  <c r="E56" i="1" s="1"/>
  <c r="F55" i="1"/>
  <c r="G55" i="1" s="1"/>
  <c r="C55" i="1"/>
  <c r="E55" i="1" s="1"/>
  <c r="F54" i="1"/>
  <c r="G54" i="1" s="1"/>
  <c r="C54" i="1"/>
  <c r="E54" i="1" s="1"/>
  <c r="F53" i="1"/>
  <c r="G53" i="1" s="1"/>
  <c r="C53" i="1"/>
  <c r="E53" i="1" s="1"/>
  <c r="F52" i="1"/>
  <c r="G52" i="1" s="1"/>
  <c r="C52" i="1"/>
  <c r="E52" i="1" s="1"/>
  <c r="F51" i="1"/>
  <c r="G51" i="1" s="1"/>
  <c r="C51" i="1"/>
  <c r="E51" i="1" s="1"/>
  <c r="F50" i="1"/>
  <c r="G50" i="1" s="1"/>
  <c r="C50" i="1"/>
  <c r="E50" i="1" s="1"/>
  <c r="F49" i="1"/>
  <c r="G49" i="1" s="1"/>
  <c r="C49" i="1"/>
  <c r="E49" i="1" s="1"/>
  <c r="F48" i="1"/>
  <c r="G48" i="1" s="1"/>
  <c r="C48" i="1"/>
  <c r="E48" i="1" s="1"/>
  <c r="F47" i="1"/>
  <c r="G47" i="1" s="1"/>
  <c r="C47" i="1"/>
  <c r="E47" i="1" s="1"/>
  <c r="F46" i="1"/>
  <c r="G46" i="1" s="1"/>
  <c r="C46" i="1"/>
  <c r="E46" i="1" s="1"/>
  <c r="F45" i="1"/>
  <c r="G45" i="1" s="1"/>
  <c r="C45" i="1"/>
  <c r="E45" i="1" s="1"/>
  <c r="F44" i="1"/>
  <c r="G44" i="1" s="1"/>
  <c r="C44" i="1"/>
  <c r="E44" i="1" s="1"/>
  <c r="F43" i="1"/>
  <c r="G43" i="1" s="1"/>
  <c r="C43" i="1"/>
  <c r="E43" i="1" s="1"/>
  <c r="F42" i="1"/>
  <c r="G42" i="1" s="1"/>
  <c r="C42" i="1"/>
  <c r="E42" i="1" s="1"/>
  <c r="F41" i="1"/>
  <c r="G41" i="1" s="1"/>
  <c r="C41" i="1"/>
  <c r="E41" i="1" s="1"/>
  <c r="F40" i="1"/>
  <c r="G40" i="1" s="1"/>
  <c r="C40" i="1"/>
  <c r="E40" i="1" s="1"/>
  <c r="F39" i="1"/>
  <c r="G39" i="1" s="1"/>
  <c r="C39" i="1"/>
  <c r="E39" i="1" s="1"/>
  <c r="F38" i="1"/>
  <c r="G38" i="1" s="1"/>
  <c r="C38" i="1"/>
  <c r="E38" i="1" s="1"/>
  <c r="F37" i="1"/>
  <c r="G37" i="1" s="1"/>
  <c r="C37" i="1"/>
  <c r="E37" i="1" s="1"/>
  <c r="F36" i="1"/>
  <c r="G36" i="1" s="1"/>
  <c r="C36" i="1"/>
  <c r="E36" i="1" s="1"/>
  <c r="F35" i="1"/>
  <c r="G35" i="1" s="1"/>
  <c r="C35" i="1"/>
  <c r="E35" i="1" s="1"/>
  <c r="F34" i="1"/>
  <c r="G34" i="1" s="1"/>
  <c r="C34" i="1"/>
  <c r="E34" i="1" s="1"/>
  <c r="F33" i="1"/>
  <c r="G33" i="1" s="1"/>
  <c r="C33" i="1"/>
  <c r="E33" i="1" s="1"/>
  <c r="F32" i="1"/>
  <c r="G32" i="1" s="1"/>
  <c r="C32" i="1"/>
  <c r="E32" i="1" s="1"/>
  <c r="F31" i="1"/>
  <c r="G31" i="1" s="1"/>
  <c r="C31" i="1"/>
  <c r="E31" i="1" s="1"/>
  <c r="F30" i="1"/>
  <c r="G30" i="1" s="1"/>
  <c r="C30" i="1"/>
  <c r="E30" i="1" s="1"/>
  <c r="F29" i="1"/>
  <c r="G29" i="1" s="1"/>
  <c r="C29" i="1"/>
  <c r="E29" i="1" s="1"/>
  <c r="F28" i="1"/>
  <c r="G28" i="1" s="1"/>
  <c r="C28" i="1"/>
  <c r="E28" i="1" s="1"/>
  <c r="F27" i="1"/>
  <c r="G27" i="1" s="1"/>
  <c r="C27" i="1"/>
  <c r="E27" i="1" s="1"/>
  <c r="F26" i="1"/>
  <c r="G26" i="1" s="1"/>
  <c r="C26" i="1"/>
  <c r="E26" i="1" s="1"/>
  <c r="F25" i="1"/>
  <c r="G25" i="1" s="1"/>
  <c r="C25" i="1"/>
  <c r="E25" i="1" s="1"/>
  <c r="F24" i="1"/>
  <c r="G24" i="1" s="1"/>
  <c r="C24" i="1"/>
  <c r="E24" i="1" s="1"/>
  <c r="F23" i="1"/>
  <c r="G23" i="1" s="1"/>
  <c r="C23" i="1"/>
  <c r="E23" i="1" s="1"/>
  <c r="F22" i="1"/>
  <c r="G22" i="1" s="1"/>
  <c r="C22" i="1"/>
  <c r="E22" i="1" s="1"/>
  <c r="F21" i="1"/>
  <c r="G21" i="1" s="1"/>
  <c r="C21" i="1"/>
  <c r="E21" i="1" s="1"/>
  <c r="F20" i="1"/>
  <c r="G20" i="1" s="1"/>
  <c r="C20" i="1"/>
  <c r="E20" i="1" s="1"/>
  <c r="F19" i="1"/>
  <c r="G19" i="1" s="1"/>
  <c r="C19" i="1"/>
  <c r="E19" i="1" s="1"/>
  <c r="F18" i="1"/>
  <c r="G18" i="1" s="1"/>
  <c r="C18" i="1"/>
  <c r="E18" i="1" s="1"/>
  <c r="F17" i="1"/>
  <c r="G17" i="1" s="1"/>
  <c r="C17" i="1"/>
  <c r="E17" i="1" s="1"/>
  <c r="F16" i="1"/>
  <c r="G16" i="1" s="1"/>
  <c r="C16" i="1"/>
  <c r="E16" i="1" s="1"/>
  <c r="F15" i="1"/>
  <c r="G15" i="1" s="1"/>
  <c r="C15" i="1"/>
  <c r="E15" i="1" s="1"/>
  <c r="F14" i="1"/>
  <c r="G14" i="1" s="1"/>
  <c r="C14" i="1"/>
  <c r="E14" i="1" s="1"/>
  <c r="F13" i="1"/>
  <c r="G13" i="1" s="1"/>
  <c r="C13" i="1"/>
  <c r="E13" i="1" s="1"/>
  <c r="F12" i="1"/>
  <c r="G12" i="1" s="1"/>
  <c r="C12" i="1"/>
  <c r="E12" i="1" s="1"/>
  <c r="F11" i="1"/>
  <c r="G11" i="1" s="1"/>
  <c r="C11" i="1"/>
  <c r="E11" i="1" s="1"/>
  <c r="F10" i="1"/>
  <c r="G10" i="1" s="1"/>
  <c r="C10" i="1"/>
  <c r="E10" i="1" s="1"/>
  <c r="F9" i="1"/>
  <c r="G9" i="1" s="1"/>
  <c r="C9" i="1"/>
  <c r="E9" i="1" s="1"/>
  <c r="F8" i="1"/>
  <c r="G8" i="1" s="1"/>
  <c r="C8" i="1"/>
  <c r="E8" i="1" s="1"/>
  <c r="F7" i="1"/>
  <c r="G7" i="1" s="1"/>
  <c r="C7" i="1"/>
  <c r="E7" i="1" s="1"/>
  <c r="F6" i="1"/>
  <c r="G6" i="1" s="1"/>
  <c r="C6" i="1"/>
  <c r="E6" i="1" s="1"/>
  <c r="C5" i="1"/>
  <c r="C81" i="1" l="1"/>
  <c r="E5" i="1"/>
  <c r="E81" i="1" l="1"/>
  <c r="F5" i="1"/>
  <c r="G5" i="1" l="1"/>
  <c r="F81" i="1"/>
</calcChain>
</file>

<file path=xl/sharedStrings.xml><?xml version="1.0" encoding="utf-8"?>
<sst xmlns="http://schemas.openxmlformats.org/spreadsheetml/2006/main" count="85" uniqueCount="65">
  <si>
    <t>Matriz de Costos y Margen Real Shopify - Estampados Paradise</t>
  </si>
  <si>
    <t>Basado en Precio Venta Público Shopify ($14.990 ref. Polera Niño) | Costo Styloo (-30%) | Pasarela (~3.5%)</t>
  </si>
  <si>
    <t>Producto</t>
  </si>
  <si>
    <t>Costo Styloo (-30%)</t>
  </si>
  <si>
    <t>Comisión Pasarela (~3.5%)</t>
  </si>
  <si>
    <t>Precio Venta Shopify</t>
  </si>
  <si>
    <t>Ganancia Limpia</t>
  </si>
  <si>
    <t>Margen (%)</t>
  </si>
  <si>
    <t>Evaluación Margen</t>
  </si>
  <si>
    <t>Polera MC Niño Old Brits 100% Algodón 160 Grs Old Brits N1600</t>
  </si>
  <si>
    <t>Polera Hombre MC Old Brits 100% Algodón 160 Grs Old Brits H1600</t>
  </si>
  <si>
    <t>Polera Mujer MC Old Brits 100% Algodón 160 Grs Old Brits M1600</t>
  </si>
  <si>
    <t>Canguro Old Brits Crop Top Mujer 60% Algodón Franela Cardada 285 Grs</t>
  </si>
  <si>
    <t>Polera Oversize Cottonext 80% Algodón 20% poliéster 280 Grs Cottonext OV2800</t>
  </si>
  <si>
    <t>Polera MC Lycra Mujer Cottonext 95% Algodón y 5% Lycra 160 Grs Cottonext ELAS1600</t>
  </si>
  <si>
    <t>Polera ML Raglan Cottonext 100% Algodón 180 Grs Cottonext Raglan 1800</t>
  </si>
  <si>
    <t>Funda Cojín Charpie Sublimable 200 g 40x40 cm tokyo revengers</t>
  </si>
  <si>
    <t>Funda De Cojin Tanjiro</t>
  </si>
  <si>
    <t>Funda De Cojin spy x family bond</t>
  </si>
  <si>
    <t>Funda De Cojin spy x family</t>
  </si>
  <si>
    <t>Funda De Cojin sailors</t>
  </si>
  <si>
    <t>Funda De Cojin sailor moon</t>
  </si>
  <si>
    <t>Funda De Cojin sailor mars</t>
  </si>
  <si>
    <t>Funda De Cojin roshi</t>
  </si>
  <si>
    <t>Funda De Cojin pilar</t>
  </si>
  <si>
    <t>Funda De Cojin pikachu</t>
  </si>
  <si>
    <t>Funda De Cojin nezuko demonio</t>
  </si>
  <si>
    <t>Funda De Cojin Papá naruto</t>
  </si>
  <si>
    <t>Funda De Cojin MAJIN BOO</t>
  </si>
  <si>
    <t>Funda De Cojin Luffy</t>
  </si>
  <si>
    <t>Funda De Cojin charmander</t>
  </si>
  <si>
    <t>Funda De Cojin akaza</t>
  </si>
  <si>
    <t>Funda De Cojin ahegao</t>
  </si>
  <si>
    <t>Polera Akaza (Demon Slayer)</t>
  </si>
  <si>
    <t>Polera Fighter rabbit efecto cuero</t>
  </si>
  <si>
    <t>Polera Fuck Wars</t>
  </si>
  <si>
    <t>Polera Jason Voorhees</t>
  </si>
  <si>
    <t>Polera Lord Sith</t>
  </si>
  <si>
    <t>Polera Medusa Styloo</t>
  </si>
  <si>
    <t>Polera Nezuco Kamado</t>
  </si>
  <si>
    <t>Polera Hombre algodón Orgánico king</t>
  </si>
  <si>
    <t>Polera Hombre algodón Orgánico Noise</t>
  </si>
  <si>
    <t>Mochila multiusos Cocodrilo</t>
  </si>
  <si>
    <t>Mochila multiusos Panda</t>
  </si>
  <si>
    <t>Mochila multiusos Zenitsu</t>
  </si>
  <si>
    <t>Bolsa Crudo Algodón</t>
  </si>
  <si>
    <t>Alfombrilla Game Pad</t>
  </si>
  <si>
    <t>Botella de Aluminio Tapa Rosca 850 ml</t>
  </si>
  <si>
    <t>Calcetín Mediano</t>
  </si>
  <si>
    <t>Collar Bandana Para Mascota Talla L</t>
  </si>
  <si>
    <t>Cuello Multifuncional</t>
  </si>
  <si>
    <t>Funda Almohada Charpie 50x70 cm</t>
  </si>
  <si>
    <t>Llavero Rectangular 40x76 mm</t>
  </si>
  <si>
    <t>Mochila Resistente Al Agua</t>
  </si>
  <si>
    <t>Placa Identificadora Mascota</t>
  </si>
  <si>
    <t>Tazón Interior y Mango Color 11 oz</t>
  </si>
  <si>
    <t>Tazón Premium Color Celeste</t>
  </si>
  <si>
    <t>Polera Hombre golden</t>
  </si>
  <si>
    <t>Polera Mujer Rosa claro</t>
  </si>
  <si>
    <t>Poleron Bicolor Mujer</t>
  </si>
  <si>
    <t>Polerón Hombre Capucha bicolor o cierre</t>
  </si>
  <si>
    <t>Bermuda Sport 2026</t>
  </si>
  <si>
    <t>Falda pantalón</t>
  </si>
  <si>
    <t>Lamina DTF impresa A4</t>
  </si>
  <si>
    <t>Promedio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</si>
</sst>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E78"/>
      <name val="Calibri"/>
    </font>
    <font>
      <b/>
      <sz val="10"/>
      <name val="Calibri"/>
    </font>
    <font>
      <b/>
      <sz val="11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7" fillId="6" borderId="2" xfId="0" applyFont="1" applyFill="1" applyBorder="1"/>
    <xf numFmtId="164" fontId="7" fillId="6" borderId="2" xfId="0" applyNumberFormat="1" applyFont="1" applyFill="1" applyBorder="1"/>
    <xf numFmtId="165" fontId="7" fillId="6" borderId="2" xfId="0" applyNumberFormat="1" applyFont="1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pane ySplit="4" topLeftCell="A62" activePane="bottomLeft" state="frozen"/>
      <selection pane="bottomLeft" activeCell="C4" sqref="C4:F4"/>
    </sheetView>
  </sheetViews>
  <sheetFormatPr baseColWidth="10" defaultColWidth="9.140625" defaultRowHeight="15" x14ac:dyDescent="0.25"/>
  <cols>
    <col min="1" max="1" width="65" customWidth="1"/>
    <col min="2" max="2" width="20" customWidth="1"/>
    <col min="3" max="4" width="22" customWidth="1"/>
    <col min="5" max="5" width="18" customWidth="1"/>
    <col min="6" max="6" width="15" customWidth="1"/>
    <col min="7" max="7" width="20" customWidth="1"/>
  </cols>
  <sheetData>
    <row r="1" spans="1:7" ht="39.950000000000003" customHeight="1" x14ac:dyDescent="0.25">
      <c r="A1" s="17" t="s">
        <v>0</v>
      </c>
      <c r="B1" s="16"/>
      <c r="C1" s="16"/>
      <c r="D1" s="16"/>
      <c r="E1" s="16"/>
      <c r="F1" s="16"/>
      <c r="G1" s="16"/>
    </row>
    <row r="2" spans="1:7" ht="20.100000000000001" customHeight="1" x14ac:dyDescent="0.25">
      <c r="A2" s="15" t="s">
        <v>1</v>
      </c>
      <c r="B2" s="16"/>
      <c r="C2" s="16"/>
      <c r="D2" s="16"/>
      <c r="E2" s="16"/>
      <c r="F2" s="16"/>
      <c r="G2" s="16"/>
    </row>
    <row r="4" spans="1:7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9</v>
      </c>
      <c r="B5" s="3">
        <v>8083.6</v>
      </c>
      <c r="C5" s="3">
        <f t="shared" ref="C5:C36" si="0">D5*0.035</f>
        <v>524.65000000000009</v>
      </c>
      <c r="D5" s="3">
        <v>14990</v>
      </c>
      <c r="E5" s="4">
        <f t="shared" ref="E5:E36" si="1">D5-B5-C5</f>
        <v>6381.75</v>
      </c>
      <c r="F5" s="5">
        <f t="shared" ref="F5:F36" si="2">E5/D5</f>
        <v>0.42573382254836556</v>
      </c>
      <c r="G5" s="6" t="str">
        <f t="shared" ref="G5:G36" si="3">IF(F5&gt;=0.4,"Excelente",IF(F5&gt;=0.25,"Bueno","Ajustar"))</f>
        <v>Excelente</v>
      </c>
    </row>
    <row r="6" spans="1:7" x14ac:dyDescent="0.25">
      <c r="A6" s="7" t="s">
        <v>9</v>
      </c>
      <c r="B6" s="8">
        <v>8083.6</v>
      </c>
      <c r="C6" s="8">
        <f t="shared" si="0"/>
        <v>524.65000000000009</v>
      </c>
      <c r="D6" s="8">
        <v>14990</v>
      </c>
      <c r="E6" s="9">
        <f t="shared" si="1"/>
        <v>6381.75</v>
      </c>
      <c r="F6" s="10">
        <f t="shared" si="2"/>
        <v>0.42573382254836556</v>
      </c>
      <c r="G6" s="11" t="str">
        <f t="shared" si="3"/>
        <v>Excelente</v>
      </c>
    </row>
    <row r="7" spans="1:7" x14ac:dyDescent="0.25">
      <c r="A7" s="2" t="s">
        <v>9</v>
      </c>
      <c r="B7" s="3">
        <v>8083.6</v>
      </c>
      <c r="C7" s="3">
        <f t="shared" si="0"/>
        <v>524.65000000000009</v>
      </c>
      <c r="D7" s="3">
        <v>14990</v>
      </c>
      <c r="E7" s="4">
        <f t="shared" si="1"/>
        <v>6381.75</v>
      </c>
      <c r="F7" s="5">
        <f t="shared" si="2"/>
        <v>0.42573382254836556</v>
      </c>
      <c r="G7" s="6" t="str">
        <f t="shared" si="3"/>
        <v>Excelente</v>
      </c>
    </row>
    <row r="8" spans="1:7" x14ac:dyDescent="0.25">
      <c r="A8" s="7" t="s">
        <v>9</v>
      </c>
      <c r="B8" s="8">
        <v>8083.6</v>
      </c>
      <c r="C8" s="8">
        <f t="shared" si="0"/>
        <v>524.65000000000009</v>
      </c>
      <c r="D8" s="8">
        <v>14990</v>
      </c>
      <c r="E8" s="9">
        <f t="shared" si="1"/>
        <v>6381.75</v>
      </c>
      <c r="F8" s="10">
        <f t="shared" si="2"/>
        <v>0.42573382254836556</v>
      </c>
      <c r="G8" s="11" t="str">
        <f t="shared" si="3"/>
        <v>Excelente</v>
      </c>
    </row>
    <row r="9" spans="1:7" x14ac:dyDescent="0.25">
      <c r="A9" s="2" t="s">
        <v>9</v>
      </c>
      <c r="B9" s="3">
        <v>8083.6</v>
      </c>
      <c r="C9" s="3">
        <f t="shared" si="0"/>
        <v>524.65000000000009</v>
      </c>
      <c r="D9" s="3">
        <v>14990</v>
      </c>
      <c r="E9" s="4">
        <f t="shared" si="1"/>
        <v>6381.75</v>
      </c>
      <c r="F9" s="5">
        <f t="shared" si="2"/>
        <v>0.42573382254836556</v>
      </c>
      <c r="G9" s="6" t="str">
        <f t="shared" si="3"/>
        <v>Excelente</v>
      </c>
    </row>
    <row r="10" spans="1:7" x14ac:dyDescent="0.25">
      <c r="A10" s="7" t="s">
        <v>10</v>
      </c>
      <c r="B10" s="8">
        <v>8333.5</v>
      </c>
      <c r="C10" s="8">
        <f t="shared" si="0"/>
        <v>540.85500000000002</v>
      </c>
      <c r="D10" s="8">
        <v>15453</v>
      </c>
      <c r="E10" s="9">
        <f t="shared" si="1"/>
        <v>6578.6450000000004</v>
      </c>
      <c r="F10" s="10">
        <f t="shared" si="2"/>
        <v>0.4257196013719019</v>
      </c>
      <c r="G10" s="11" t="str">
        <f t="shared" si="3"/>
        <v>Excelente</v>
      </c>
    </row>
    <row r="11" spans="1:7" x14ac:dyDescent="0.25">
      <c r="A11" s="2" t="s">
        <v>10</v>
      </c>
      <c r="B11" s="3">
        <v>8333.5</v>
      </c>
      <c r="C11" s="3">
        <f t="shared" si="0"/>
        <v>540.85500000000002</v>
      </c>
      <c r="D11" s="3">
        <v>15453</v>
      </c>
      <c r="E11" s="4">
        <f t="shared" si="1"/>
        <v>6578.6450000000004</v>
      </c>
      <c r="F11" s="5">
        <f t="shared" si="2"/>
        <v>0.4257196013719019</v>
      </c>
      <c r="G11" s="6" t="str">
        <f t="shared" si="3"/>
        <v>Excelente</v>
      </c>
    </row>
    <row r="12" spans="1:7" x14ac:dyDescent="0.25">
      <c r="A12" s="7" t="s">
        <v>10</v>
      </c>
      <c r="B12" s="8">
        <v>8333.5</v>
      </c>
      <c r="C12" s="8">
        <f t="shared" si="0"/>
        <v>540.85500000000002</v>
      </c>
      <c r="D12" s="8">
        <v>15453</v>
      </c>
      <c r="E12" s="9">
        <f t="shared" si="1"/>
        <v>6578.6450000000004</v>
      </c>
      <c r="F12" s="10">
        <f t="shared" si="2"/>
        <v>0.4257196013719019</v>
      </c>
      <c r="G12" s="11" t="str">
        <f t="shared" si="3"/>
        <v>Excelente</v>
      </c>
    </row>
    <row r="13" spans="1:7" x14ac:dyDescent="0.25">
      <c r="A13" s="2" t="s">
        <v>11</v>
      </c>
      <c r="B13" s="3">
        <v>8416.7999999999993</v>
      </c>
      <c r="C13" s="3">
        <f t="shared" si="0"/>
        <v>546.28000000000009</v>
      </c>
      <c r="D13" s="3">
        <v>15608</v>
      </c>
      <c r="E13" s="4">
        <f t="shared" si="1"/>
        <v>6644.920000000001</v>
      </c>
      <c r="F13" s="5">
        <f t="shared" si="2"/>
        <v>0.42573808303434141</v>
      </c>
      <c r="G13" s="6" t="str">
        <f t="shared" si="3"/>
        <v>Excelente</v>
      </c>
    </row>
    <row r="14" spans="1:7" x14ac:dyDescent="0.25">
      <c r="A14" s="7" t="s">
        <v>11</v>
      </c>
      <c r="B14" s="8">
        <v>8416.7999999999993</v>
      </c>
      <c r="C14" s="8">
        <f t="shared" si="0"/>
        <v>546.28000000000009</v>
      </c>
      <c r="D14" s="8">
        <v>15608</v>
      </c>
      <c r="E14" s="9">
        <f t="shared" si="1"/>
        <v>6644.920000000001</v>
      </c>
      <c r="F14" s="10">
        <f t="shared" si="2"/>
        <v>0.42573808303434141</v>
      </c>
      <c r="G14" s="11" t="str">
        <f t="shared" si="3"/>
        <v>Excelente</v>
      </c>
    </row>
    <row r="15" spans="1:7" x14ac:dyDescent="0.25">
      <c r="A15" s="2" t="s">
        <v>11</v>
      </c>
      <c r="B15" s="3">
        <v>8416.7999999999993</v>
      </c>
      <c r="C15" s="3">
        <f t="shared" si="0"/>
        <v>546.28000000000009</v>
      </c>
      <c r="D15" s="3">
        <v>15608</v>
      </c>
      <c r="E15" s="4">
        <f t="shared" si="1"/>
        <v>6644.920000000001</v>
      </c>
      <c r="F15" s="5">
        <f t="shared" si="2"/>
        <v>0.42573808303434141</v>
      </c>
      <c r="G15" s="6" t="str">
        <f t="shared" si="3"/>
        <v>Excelente</v>
      </c>
    </row>
    <row r="16" spans="1:7" x14ac:dyDescent="0.25">
      <c r="A16" s="7" t="s">
        <v>11</v>
      </c>
      <c r="B16" s="8">
        <v>8416.7999999999993</v>
      </c>
      <c r="C16" s="8">
        <f t="shared" si="0"/>
        <v>546.28000000000009</v>
      </c>
      <c r="D16" s="8">
        <v>15608</v>
      </c>
      <c r="E16" s="9">
        <f t="shared" si="1"/>
        <v>6644.920000000001</v>
      </c>
      <c r="F16" s="10">
        <f t="shared" si="2"/>
        <v>0.42573808303434141</v>
      </c>
      <c r="G16" s="11" t="str">
        <f t="shared" si="3"/>
        <v>Excelente</v>
      </c>
    </row>
    <row r="17" spans="1:7" x14ac:dyDescent="0.25">
      <c r="A17" s="2" t="s">
        <v>11</v>
      </c>
      <c r="B17" s="3">
        <v>8416.7999999999993</v>
      </c>
      <c r="C17" s="3">
        <f t="shared" si="0"/>
        <v>546.28000000000009</v>
      </c>
      <c r="D17" s="3">
        <v>15608</v>
      </c>
      <c r="E17" s="4">
        <f t="shared" si="1"/>
        <v>6644.920000000001</v>
      </c>
      <c r="F17" s="5">
        <f t="shared" si="2"/>
        <v>0.42573808303434141</v>
      </c>
      <c r="G17" s="6" t="str">
        <f t="shared" si="3"/>
        <v>Excelente</v>
      </c>
    </row>
    <row r="18" spans="1:7" x14ac:dyDescent="0.25">
      <c r="A18" s="7" t="s">
        <v>11</v>
      </c>
      <c r="B18" s="8">
        <v>8416.7999999999993</v>
      </c>
      <c r="C18" s="8">
        <f t="shared" si="0"/>
        <v>546.28000000000009</v>
      </c>
      <c r="D18" s="8">
        <v>15608</v>
      </c>
      <c r="E18" s="9">
        <f t="shared" si="1"/>
        <v>6644.920000000001</v>
      </c>
      <c r="F18" s="10">
        <f t="shared" si="2"/>
        <v>0.42573808303434141</v>
      </c>
      <c r="G18" s="11" t="str">
        <f t="shared" si="3"/>
        <v>Excelente</v>
      </c>
    </row>
    <row r="19" spans="1:7" x14ac:dyDescent="0.25">
      <c r="A19" s="2" t="s">
        <v>11</v>
      </c>
      <c r="B19" s="3">
        <v>8416.7999999999993</v>
      </c>
      <c r="C19" s="3">
        <f t="shared" si="0"/>
        <v>546.28000000000009</v>
      </c>
      <c r="D19" s="3">
        <v>15608</v>
      </c>
      <c r="E19" s="4">
        <f t="shared" si="1"/>
        <v>6644.920000000001</v>
      </c>
      <c r="F19" s="5">
        <f t="shared" si="2"/>
        <v>0.42573808303434141</v>
      </c>
      <c r="G19" s="6" t="str">
        <f t="shared" si="3"/>
        <v>Excelente</v>
      </c>
    </row>
    <row r="20" spans="1:7" x14ac:dyDescent="0.25">
      <c r="A20" s="7" t="s">
        <v>12</v>
      </c>
      <c r="B20" s="8">
        <v>12665.1</v>
      </c>
      <c r="C20" s="8">
        <f t="shared" si="0"/>
        <v>822.0100000000001</v>
      </c>
      <c r="D20" s="8">
        <v>23486</v>
      </c>
      <c r="E20" s="9">
        <f t="shared" si="1"/>
        <v>9998.89</v>
      </c>
      <c r="F20" s="10">
        <f t="shared" si="2"/>
        <v>0.42573831218598313</v>
      </c>
      <c r="G20" s="11" t="str">
        <f t="shared" si="3"/>
        <v>Excelente</v>
      </c>
    </row>
    <row r="21" spans="1:7" x14ac:dyDescent="0.25">
      <c r="A21" s="2" t="s">
        <v>12</v>
      </c>
      <c r="B21" s="3">
        <v>12665.1</v>
      </c>
      <c r="C21" s="3">
        <f t="shared" si="0"/>
        <v>822.0100000000001</v>
      </c>
      <c r="D21" s="3">
        <v>23486</v>
      </c>
      <c r="E21" s="4">
        <f t="shared" si="1"/>
        <v>9998.89</v>
      </c>
      <c r="F21" s="5">
        <f t="shared" si="2"/>
        <v>0.42573831218598313</v>
      </c>
      <c r="G21" s="6" t="str">
        <f t="shared" si="3"/>
        <v>Excelente</v>
      </c>
    </row>
    <row r="22" spans="1:7" x14ac:dyDescent="0.25">
      <c r="A22" s="7" t="s">
        <v>13</v>
      </c>
      <c r="B22" s="8">
        <v>11915.4</v>
      </c>
      <c r="C22" s="8">
        <f t="shared" si="0"/>
        <v>773.36000000000013</v>
      </c>
      <c r="D22" s="8">
        <v>22096</v>
      </c>
      <c r="E22" s="9">
        <f t="shared" si="1"/>
        <v>9407.24</v>
      </c>
      <c r="F22" s="10">
        <f t="shared" si="2"/>
        <v>0.42574402606806661</v>
      </c>
      <c r="G22" s="11" t="str">
        <f t="shared" si="3"/>
        <v>Excelente</v>
      </c>
    </row>
    <row r="23" spans="1:7" x14ac:dyDescent="0.25">
      <c r="A23" s="2" t="s">
        <v>13</v>
      </c>
      <c r="B23" s="3">
        <v>11915.4</v>
      </c>
      <c r="C23" s="3">
        <f t="shared" si="0"/>
        <v>773.36000000000013</v>
      </c>
      <c r="D23" s="3">
        <v>22096</v>
      </c>
      <c r="E23" s="4">
        <f t="shared" si="1"/>
        <v>9407.24</v>
      </c>
      <c r="F23" s="5">
        <f t="shared" si="2"/>
        <v>0.42574402606806661</v>
      </c>
      <c r="G23" s="6" t="str">
        <f t="shared" si="3"/>
        <v>Excelente</v>
      </c>
    </row>
    <row r="24" spans="1:7" x14ac:dyDescent="0.25">
      <c r="A24" s="7" t="s">
        <v>13</v>
      </c>
      <c r="B24" s="8">
        <v>11915.4</v>
      </c>
      <c r="C24" s="8">
        <f t="shared" si="0"/>
        <v>773.36000000000013</v>
      </c>
      <c r="D24" s="8">
        <v>22096</v>
      </c>
      <c r="E24" s="9">
        <f t="shared" si="1"/>
        <v>9407.24</v>
      </c>
      <c r="F24" s="10">
        <f t="shared" si="2"/>
        <v>0.42574402606806661</v>
      </c>
      <c r="G24" s="11" t="str">
        <f t="shared" si="3"/>
        <v>Excelente</v>
      </c>
    </row>
    <row r="25" spans="1:7" x14ac:dyDescent="0.25">
      <c r="A25" s="2" t="s">
        <v>14</v>
      </c>
      <c r="B25" s="3">
        <v>8583.4</v>
      </c>
      <c r="C25" s="3">
        <f t="shared" si="0"/>
        <v>557.09500000000003</v>
      </c>
      <c r="D25" s="3">
        <v>15917</v>
      </c>
      <c r="E25" s="4">
        <f t="shared" si="1"/>
        <v>6776.5050000000001</v>
      </c>
      <c r="F25" s="5">
        <f t="shared" si="2"/>
        <v>0.42574008921279138</v>
      </c>
      <c r="G25" s="6" t="str">
        <f t="shared" si="3"/>
        <v>Excelente</v>
      </c>
    </row>
    <row r="26" spans="1:7" x14ac:dyDescent="0.25">
      <c r="A26" s="7" t="s">
        <v>14</v>
      </c>
      <c r="B26" s="8">
        <v>8583.4</v>
      </c>
      <c r="C26" s="8">
        <f t="shared" si="0"/>
        <v>557.09500000000003</v>
      </c>
      <c r="D26" s="8">
        <v>15917</v>
      </c>
      <c r="E26" s="9">
        <f t="shared" si="1"/>
        <v>6776.5050000000001</v>
      </c>
      <c r="F26" s="10">
        <f t="shared" si="2"/>
        <v>0.42574008921279138</v>
      </c>
      <c r="G26" s="11" t="str">
        <f t="shared" si="3"/>
        <v>Excelente</v>
      </c>
    </row>
    <row r="27" spans="1:7" x14ac:dyDescent="0.25">
      <c r="A27" s="2" t="s">
        <v>14</v>
      </c>
      <c r="B27" s="3">
        <v>8583.4</v>
      </c>
      <c r="C27" s="3">
        <f t="shared" si="0"/>
        <v>557.09500000000003</v>
      </c>
      <c r="D27" s="3">
        <v>15917</v>
      </c>
      <c r="E27" s="4">
        <f t="shared" si="1"/>
        <v>6776.5050000000001</v>
      </c>
      <c r="F27" s="5">
        <f t="shared" si="2"/>
        <v>0.42574008921279138</v>
      </c>
      <c r="G27" s="6" t="str">
        <f t="shared" si="3"/>
        <v>Excelente</v>
      </c>
    </row>
    <row r="28" spans="1:7" x14ac:dyDescent="0.25">
      <c r="A28" s="7" t="s">
        <v>15</v>
      </c>
      <c r="B28" s="8">
        <v>9666.2999999999993</v>
      </c>
      <c r="C28" s="8">
        <f t="shared" si="0"/>
        <v>627.37500000000011</v>
      </c>
      <c r="D28" s="8">
        <v>17925</v>
      </c>
      <c r="E28" s="9">
        <f t="shared" si="1"/>
        <v>7631.3250000000007</v>
      </c>
      <c r="F28" s="10">
        <f t="shared" si="2"/>
        <v>0.42573640167364019</v>
      </c>
      <c r="G28" s="11" t="str">
        <f t="shared" si="3"/>
        <v>Excelente</v>
      </c>
    </row>
    <row r="29" spans="1:7" x14ac:dyDescent="0.25">
      <c r="A29" s="2" t="s">
        <v>15</v>
      </c>
      <c r="B29" s="3">
        <v>9666.2999999999993</v>
      </c>
      <c r="C29" s="3">
        <f t="shared" si="0"/>
        <v>627.37500000000011</v>
      </c>
      <c r="D29" s="3">
        <v>17925</v>
      </c>
      <c r="E29" s="4">
        <f t="shared" si="1"/>
        <v>7631.3250000000007</v>
      </c>
      <c r="F29" s="5">
        <f t="shared" si="2"/>
        <v>0.42573640167364019</v>
      </c>
      <c r="G29" s="6" t="str">
        <f t="shared" si="3"/>
        <v>Excelente</v>
      </c>
    </row>
    <row r="30" spans="1:7" x14ac:dyDescent="0.25">
      <c r="A30" s="7" t="s">
        <v>15</v>
      </c>
      <c r="B30" s="8">
        <v>9666.2999999999993</v>
      </c>
      <c r="C30" s="8">
        <f t="shared" si="0"/>
        <v>627.37500000000011</v>
      </c>
      <c r="D30" s="8">
        <v>17925</v>
      </c>
      <c r="E30" s="9">
        <f t="shared" si="1"/>
        <v>7631.3250000000007</v>
      </c>
      <c r="F30" s="10">
        <f t="shared" si="2"/>
        <v>0.42573640167364019</v>
      </c>
      <c r="G30" s="11" t="str">
        <f t="shared" si="3"/>
        <v>Excelente</v>
      </c>
    </row>
    <row r="31" spans="1:7" x14ac:dyDescent="0.25">
      <c r="A31" s="2" t="s">
        <v>15</v>
      </c>
      <c r="B31" s="3">
        <v>9666.2999999999993</v>
      </c>
      <c r="C31" s="3">
        <f t="shared" si="0"/>
        <v>627.37500000000011</v>
      </c>
      <c r="D31" s="3">
        <v>17925</v>
      </c>
      <c r="E31" s="4">
        <f t="shared" si="1"/>
        <v>7631.3250000000007</v>
      </c>
      <c r="F31" s="5">
        <f t="shared" si="2"/>
        <v>0.42573640167364019</v>
      </c>
      <c r="G31" s="6" t="str">
        <f t="shared" si="3"/>
        <v>Excelente</v>
      </c>
    </row>
    <row r="32" spans="1:7" x14ac:dyDescent="0.25">
      <c r="A32" s="7" t="s">
        <v>16</v>
      </c>
      <c r="B32" s="8">
        <v>7333.9</v>
      </c>
      <c r="C32" s="8">
        <f t="shared" si="0"/>
        <v>476.00000000000006</v>
      </c>
      <c r="D32" s="8">
        <v>13600</v>
      </c>
      <c r="E32" s="9">
        <f t="shared" si="1"/>
        <v>5790.1</v>
      </c>
      <c r="F32" s="10">
        <f t="shared" si="2"/>
        <v>0.42574264705882353</v>
      </c>
      <c r="G32" s="11" t="str">
        <f t="shared" si="3"/>
        <v>Excelente</v>
      </c>
    </row>
    <row r="33" spans="1:7" x14ac:dyDescent="0.25">
      <c r="A33" s="2" t="s">
        <v>17</v>
      </c>
      <c r="B33" s="3">
        <v>7333.9</v>
      </c>
      <c r="C33" s="3">
        <f t="shared" si="0"/>
        <v>476.00000000000006</v>
      </c>
      <c r="D33" s="3">
        <v>13600</v>
      </c>
      <c r="E33" s="4">
        <f t="shared" si="1"/>
        <v>5790.1</v>
      </c>
      <c r="F33" s="5">
        <f t="shared" si="2"/>
        <v>0.42574264705882353</v>
      </c>
      <c r="G33" s="6" t="str">
        <f t="shared" si="3"/>
        <v>Excelente</v>
      </c>
    </row>
    <row r="34" spans="1:7" x14ac:dyDescent="0.25">
      <c r="A34" s="7" t="s">
        <v>18</v>
      </c>
      <c r="B34" s="8">
        <v>7333.9</v>
      </c>
      <c r="C34" s="8">
        <f t="shared" si="0"/>
        <v>476.00000000000006</v>
      </c>
      <c r="D34" s="8">
        <v>13600</v>
      </c>
      <c r="E34" s="9">
        <f t="shared" si="1"/>
        <v>5790.1</v>
      </c>
      <c r="F34" s="10">
        <f t="shared" si="2"/>
        <v>0.42574264705882353</v>
      </c>
      <c r="G34" s="11" t="str">
        <f t="shared" si="3"/>
        <v>Excelente</v>
      </c>
    </row>
    <row r="35" spans="1:7" x14ac:dyDescent="0.25">
      <c r="A35" s="2" t="s">
        <v>19</v>
      </c>
      <c r="B35" s="3">
        <v>7333.9</v>
      </c>
      <c r="C35" s="3">
        <f t="shared" si="0"/>
        <v>476.00000000000006</v>
      </c>
      <c r="D35" s="3">
        <v>13600</v>
      </c>
      <c r="E35" s="4">
        <f t="shared" si="1"/>
        <v>5790.1</v>
      </c>
      <c r="F35" s="5">
        <f t="shared" si="2"/>
        <v>0.42574264705882353</v>
      </c>
      <c r="G35" s="6" t="str">
        <f t="shared" si="3"/>
        <v>Excelente</v>
      </c>
    </row>
    <row r="36" spans="1:7" x14ac:dyDescent="0.25">
      <c r="A36" s="7" t="s">
        <v>20</v>
      </c>
      <c r="B36" s="8">
        <v>7333.9</v>
      </c>
      <c r="C36" s="8">
        <f t="shared" si="0"/>
        <v>476.00000000000006</v>
      </c>
      <c r="D36" s="8">
        <v>13600</v>
      </c>
      <c r="E36" s="9">
        <f t="shared" si="1"/>
        <v>5790.1</v>
      </c>
      <c r="F36" s="10">
        <f t="shared" si="2"/>
        <v>0.42574264705882353</v>
      </c>
      <c r="G36" s="11" t="str">
        <f t="shared" si="3"/>
        <v>Excelente</v>
      </c>
    </row>
    <row r="37" spans="1:7" x14ac:dyDescent="0.25">
      <c r="A37" s="2" t="s">
        <v>21</v>
      </c>
      <c r="B37" s="3">
        <v>7333.9</v>
      </c>
      <c r="C37" s="3">
        <f t="shared" ref="C37:C68" si="4">D37*0.035</f>
        <v>476.00000000000006</v>
      </c>
      <c r="D37" s="3">
        <v>13600</v>
      </c>
      <c r="E37" s="4">
        <f t="shared" ref="E37:E68" si="5">D37-B37-C37</f>
        <v>5790.1</v>
      </c>
      <c r="F37" s="5">
        <f t="shared" ref="F37:F68" si="6">E37/D37</f>
        <v>0.42574264705882353</v>
      </c>
      <c r="G37" s="6" t="str">
        <f t="shared" ref="G37:G68" si="7">IF(F37&gt;=0.4,"Excelente",IF(F37&gt;=0.25,"Bueno","Ajustar"))</f>
        <v>Excelente</v>
      </c>
    </row>
    <row r="38" spans="1:7" x14ac:dyDescent="0.25">
      <c r="A38" s="7" t="s">
        <v>22</v>
      </c>
      <c r="B38" s="8">
        <v>7333.9</v>
      </c>
      <c r="C38" s="8">
        <f t="shared" si="4"/>
        <v>476.00000000000006</v>
      </c>
      <c r="D38" s="8">
        <v>13600</v>
      </c>
      <c r="E38" s="9">
        <f t="shared" si="5"/>
        <v>5790.1</v>
      </c>
      <c r="F38" s="10">
        <f t="shared" si="6"/>
        <v>0.42574264705882353</v>
      </c>
      <c r="G38" s="11" t="str">
        <f t="shared" si="7"/>
        <v>Excelente</v>
      </c>
    </row>
    <row r="39" spans="1:7" x14ac:dyDescent="0.25">
      <c r="A39" s="2" t="s">
        <v>23</v>
      </c>
      <c r="B39" s="3">
        <v>7333.9</v>
      </c>
      <c r="C39" s="3">
        <f t="shared" si="4"/>
        <v>476.00000000000006</v>
      </c>
      <c r="D39" s="3">
        <v>13600</v>
      </c>
      <c r="E39" s="4">
        <f t="shared" si="5"/>
        <v>5790.1</v>
      </c>
      <c r="F39" s="5">
        <f t="shared" si="6"/>
        <v>0.42574264705882353</v>
      </c>
      <c r="G39" s="6" t="str">
        <f t="shared" si="7"/>
        <v>Excelente</v>
      </c>
    </row>
    <row r="40" spans="1:7" x14ac:dyDescent="0.25">
      <c r="A40" s="7" t="s">
        <v>24</v>
      </c>
      <c r="B40" s="8">
        <v>7333.9</v>
      </c>
      <c r="C40" s="8">
        <f t="shared" si="4"/>
        <v>476.00000000000006</v>
      </c>
      <c r="D40" s="8">
        <v>13600</v>
      </c>
      <c r="E40" s="9">
        <f t="shared" si="5"/>
        <v>5790.1</v>
      </c>
      <c r="F40" s="10">
        <f t="shared" si="6"/>
        <v>0.42574264705882353</v>
      </c>
      <c r="G40" s="11" t="str">
        <f t="shared" si="7"/>
        <v>Excelente</v>
      </c>
    </row>
    <row r="41" spans="1:7" x14ac:dyDescent="0.25">
      <c r="A41" s="2" t="s">
        <v>25</v>
      </c>
      <c r="B41" s="3">
        <v>7333.9</v>
      </c>
      <c r="C41" s="3">
        <f t="shared" si="4"/>
        <v>476.00000000000006</v>
      </c>
      <c r="D41" s="3">
        <v>13600</v>
      </c>
      <c r="E41" s="4">
        <f t="shared" si="5"/>
        <v>5790.1</v>
      </c>
      <c r="F41" s="5">
        <f t="shared" si="6"/>
        <v>0.42574264705882353</v>
      </c>
      <c r="G41" s="6" t="str">
        <f t="shared" si="7"/>
        <v>Excelente</v>
      </c>
    </row>
    <row r="42" spans="1:7" x14ac:dyDescent="0.25">
      <c r="A42" s="7" t="s">
        <v>26</v>
      </c>
      <c r="B42" s="8">
        <v>7333.9</v>
      </c>
      <c r="C42" s="8">
        <f t="shared" si="4"/>
        <v>476.00000000000006</v>
      </c>
      <c r="D42" s="8">
        <v>13600</v>
      </c>
      <c r="E42" s="9">
        <f t="shared" si="5"/>
        <v>5790.1</v>
      </c>
      <c r="F42" s="10">
        <f t="shared" si="6"/>
        <v>0.42574264705882353</v>
      </c>
      <c r="G42" s="11" t="str">
        <f t="shared" si="7"/>
        <v>Excelente</v>
      </c>
    </row>
    <row r="43" spans="1:7" x14ac:dyDescent="0.25">
      <c r="A43" s="2" t="s">
        <v>27</v>
      </c>
      <c r="B43" s="3">
        <v>7333.9</v>
      </c>
      <c r="C43" s="3">
        <f t="shared" si="4"/>
        <v>476.00000000000006</v>
      </c>
      <c r="D43" s="3">
        <v>13600</v>
      </c>
      <c r="E43" s="4">
        <f t="shared" si="5"/>
        <v>5790.1</v>
      </c>
      <c r="F43" s="5">
        <f t="shared" si="6"/>
        <v>0.42574264705882353</v>
      </c>
      <c r="G43" s="6" t="str">
        <f t="shared" si="7"/>
        <v>Excelente</v>
      </c>
    </row>
    <row r="44" spans="1:7" x14ac:dyDescent="0.25">
      <c r="A44" s="7" t="s">
        <v>28</v>
      </c>
      <c r="B44" s="8">
        <v>7333.9</v>
      </c>
      <c r="C44" s="8">
        <f t="shared" si="4"/>
        <v>476.00000000000006</v>
      </c>
      <c r="D44" s="8">
        <v>13600</v>
      </c>
      <c r="E44" s="9">
        <f t="shared" si="5"/>
        <v>5790.1</v>
      </c>
      <c r="F44" s="10">
        <f t="shared" si="6"/>
        <v>0.42574264705882353</v>
      </c>
      <c r="G44" s="11" t="str">
        <f t="shared" si="7"/>
        <v>Excelente</v>
      </c>
    </row>
    <row r="45" spans="1:7" x14ac:dyDescent="0.25">
      <c r="A45" s="2" t="s">
        <v>29</v>
      </c>
      <c r="B45" s="3">
        <v>7333.9</v>
      </c>
      <c r="C45" s="3">
        <f t="shared" si="4"/>
        <v>476.00000000000006</v>
      </c>
      <c r="D45" s="3">
        <v>13600</v>
      </c>
      <c r="E45" s="4">
        <f t="shared" si="5"/>
        <v>5790.1</v>
      </c>
      <c r="F45" s="5">
        <f t="shared" si="6"/>
        <v>0.42574264705882353</v>
      </c>
      <c r="G45" s="6" t="str">
        <f t="shared" si="7"/>
        <v>Excelente</v>
      </c>
    </row>
    <row r="46" spans="1:7" x14ac:dyDescent="0.25">
      <c r="A46" s="7" t="s">
        <v>30</v>
      </c>
      <c r="B46" s="8">
        <v>7333.9</v>
      </c>
      <c r="C46" s="8">
        <f t="shared" si="4"/>
        <v>476.00000000000006</v>
      </c>
      <c r="D46" s="8">
        <v>13600</v>
      </c>
      <c r="E46" s="9">
        <f t="shared" si="5"/>
        <v>5790.1</v>
      </c>
      <c r="F46" s="10">
        <f t="shared" si="6"/>
        <v>0.42574264705882353</v>
      </c>
      <c r="G46" s="11" t="str">
        <f t="shared" si="7"/>
        <v>Excelente</v>
      </c>
    </row>
    <row r="47" spans="1:7" x14ac:dyDescent="0.25">
      <c r="A47" s="2" t="s">
        <v>31</v>
      </c>
      <c r="B47" s="3">
        <v>7333.9</v>
      </c>
      <c r="C47" s="3">
        <f t="shared" si="4"/>
        <v>476.00000000000006</v>
      </c>
      <c r="D47" s="3">
        <v>13600</v>
      </c>
      <c r="E47" s="4">
        <f t="shared" si="5"/>
        <v>5790.1</v>
      </c>
      <c r="F47" s="5">
        <f t="shared" si="6"/>
        <v>0.42574264705882353</v>
      </c>
      <c r="G47" s="6" t="str">
        <f t="shared" si="7"/>
        <v>Excelente</v>
      </c>
    </row>
    <row r="48" spans="1:7" x14ac:dyDescent="0.25">
      <c r="A48" s="7" t="s">
        <v>32</v>
      </c>
      <c r="B48" s="8">
        <v>7333.9</v>
      </c>
      <c r="C48" s="8">
        <f t="shared" si="4"/>
        <v>476.00000000000006</v>
      </c>
      <c r="D48" s="8">
        <v>13600</v>
      </c>
      <c r="E48" s="9">
        <f t="shared" si="5"/>
        <v>5790.1</v>
      </c>
      <c r="F48" s="10">
        <f t="shared" si="6"/>
        <v>0.42574264705882353</v>
      </c>
      <c r="G48" s="11" t="str">
        <f t="shared" si="7"/>
        <v>Excelente</v>
      </c>
    </row>
    <row r="49" spans="1:7" x14ac:dyDescent="0.25">
      <c r="A49" s="2" t="s">
        <v>33</v>
      </c>
      <c r="B49" s="3">
        <v>9499.7000000000007</v>
      </c>
      <c r="C49" s="3">
        <f t="shared" si="4"/>
        <v>616.56000000000006</v>
      </c>
      <c r="D49" s="3">
        <v>17616</v>
      </c>
      <c r="E49" s="4">
        <f t="shared" si="5"/>
        <v>7499.7399999999989</v>
      </c>
      <c r="F49" s="5">
        <f t="shared" si="6"/>
        <v>0.4257345594913714</v>
      </c>
      <c r="G49" s="6" t="str">
        <f t="shared" si="7"/>
        <v>Excelente</v>
      </c>
    </row>
    <row r="50" spans="1:7" x14ac:dyDescent="0.25">
      <c r="A50" s="7" t="s">
        <v>34</v>
      </c>
      <c r="B50" s="8">
        <v>9499.7000000000007</v>
      </c>
      <c r="C50" s="8">
        <f t="shared" si="4"/>
        <v>616.56000000000006</v>
      </c>
      <c r="D50" s="8">
        <v>17616</v>
      </c>
      <c r="E50" s="9">
        <f t="shared" si="5"/>
        <v>7499.7399999999989</v>
      </c>
      <c r="F50" s="10">
        <f t="shared" si="6"/>
        <v>0.4257345594913714</v>
      </c>
      <c r="G50" s="11" t="str">
        <f t="shared" si="7"/>
        <v>Excelente</v>
      </c>
    </row>
    <row r="51" spans="1:7" x14ac:dyDescent="0.25">
      <c r="A51" s="2" t="s">
        <v>35</v>
      </c>
      <c r="B51" s="3">
        <v>9499.7000000000007</v>
      </c>
      <c r="C51" s="3">
        <f t="shared" si="4"/>
        <v>616.56000000000006</v>
      </c>
      <c r="D51" s="3">
        <v>17616</v>
      </c>
      <c r="E51" s="4">
        <f t="shared" si="5"/>
        <v>7499.7399999999989</v>
      </c>
      <c r="F51" s="5">
        <f t="shared" si="6"/>
        <v>0.4257345594913714</v>
      </c>
      <c r="G51" s="6" t="str">
        <f t="shared" si="7"/>
        <v>Excelente</v>
      </c>
    </row>
    <row r="52" spans="1:7" x14ac:dyDescent="0.25">
      <c r="A52" s="7" t="s">
        <v>36</v>
      </c>
      <c r="B52" s="8">
        <v>9499.7000000000007</v>
      </c>
      <c r="C52" s="8">
        <f t="shared" si="4"/>
        <v>616.56000000000006</v>
      </c>
      <c r="D52" s="8">
        <v>17616</v>
      </c>
      <c r="E52" s="9">
        <f t="shared" si="5"/>
        <v>7499.7399999999989</v>
      </c>
      <c r="F52" s="10">
        <f t="shared" si="6"/>
        <v>0.4257345594913714</v>
      </c>
      <c r="G52" s="11" t="str">
        <f t="shared" si="7"/>
        <v>Excelente</v>
      </c>
    </row>
    <row r="53" spans="1:7" x14ac:dyDescent="0.25">
      <c r="A53" s="2" t="s">
        <v>37</v>
      </c>
      <c r="B53" s="3">
        <v>9499.7000000000007</v>
      </c>
      <c r="C53" s="3">
        <f t="shared" si="4"/>
        <v>616.56000000000006</v>
      </c>
      <c r="D53" s="3">
        <v>17616</v>
      </c>
      <c r="E53" s="4">
        <f t="shared" si="5"/>
        <v>7499.7399999999989</v>
      </c>
      <c r="F53" s="5">
        <f t="shared" si="6"/>
        <v>0.4257345594913714</v>
      </c>
      <c r="G53" s="6" t="str">
        <f t="shared" si="7"/>
        <v>Excelente</v>
      </c>
    </row>
    <row r="54" spans="1:7" x14ac:dyDescent="0.25">
      <c r="A54" s="7" t="s">
        <v>38</v>
      </c>
      <c r="B54" s="8">
        <v>9499.7000000000007</v>
      </c>
      <c r="C54" s="8">
        <f t="shared" si="4"/>
        <v>616.56000000000006</v>
      </c>
      <c r="D54" s="8">
        <v>17616</v>
      </c>
      <c r="E54" s="9">
        <f t="shared" si="5"/>
        <v>7499.7399999999989</v>
      </c>
      <c r="F54" s="10">
        <f t="shared" si="6"/>
        <v>0.4257345594913714</v>
      </c>
      <c r="G54" s="11" t="str">
        <f t="shared" si="7"/>
        <v>Excelente</v>
      </c>
    </row>
    <row r="55" spans="1:7" x14ac:dyDescent="0.25">
      <c r="A55" s="2" t="s">
        <v>39</v>
      </c>
      <c r="B55" s="3">
        <v>9499.7000000000007</v>
      </c>
      <c r="C55" s="3">
        <f t="shared" si="4"/>
        <v>616.56000000000006</v>
      </c>
      <c r="D55" s="3">
        <v>17616</v>
      </c>
      <c r="E55" s="4">
        <f t="shared" si="5"/>
        <v>7499.7399999999989</v>
      </c>
      <c r="F55" s="5">
        <f t="shared" si="6"/>
        <v>0.4257345594913714</v>
      </c>
      <c r="G55" s="6" t="str">
        <f t="shared" si="7"/>
        <v>Excelente</v>
      </c>
    </row>
    <row r="56" spans="1:7" x14ac:dyDescent="0.25">
      <c r="A56" s="7" t="s">
        <v>40</v>
      </c>
      <c r="B56" s="8">
        <v>9499.7000000000007</v>
      </c>
      <c r="C56" s="8">
        <f t="shared" si="4"/>
        <v>616.56000000000006</v>
      </c>
      <c r="D56" s="8">
        <v>17616</v>
      </c>
      <c r="E56" s="9">
        <f t="shared" si="5"/>
        <v>7499.7399999999989</v>
      </c>
      <c r="F56" s="10">
        <f t="shared" si="6"/>
        <v>0.4257345594913714</v>
      </c>
      <c r="G56" s="11" t="str">
        <f t="shared" si="7"/>
        <v>Excelente</v>
      </c>
    </row>
    <row r="57" spans="1:7" x14ac:dyDescent="0.25">
      <c r="A57" s="2" t="s">
        <v>41</v>
      </c>
      <c r="B57" s="3">
        <v>9499.7000000000007</v>
      </c>
      <c r="C57" s="3">
        <f t="shared" si="4"/>
        <v>616.56000000000006</v>
      </c>
      <c r="D57" s="3">
        <v>17616</v>
      </c>
      <c r="E57" s="4">
        <f t="shared" si="5"/>
        <v>7499.7399999999989</v>
      </c>
      <c r="F57" s="5">
        <f t="shared" si="6"/>
        <v>0.4257345594913714</v>
      </c>
      <c r="G57" s="6" t="str">
        <f t="shared" si="7"/>
        <v>Excelente</v>
      </c>
    </row>
    <row r="58" spans="1:7" x14ac:dyDescent="0.25">
      <c r="A58" s="7" t="s">
        <v>42</v>
      </c>
      <c r="B58" s="8">
        <v>7858.9</v>
      </c>
      <c r="C58" s="8">
        <f t="shared" si="4"/>
        <v>510.05500000000006</v>
      </c>
      <c r="D58" s="8">
        <v>14573</v>
      </c>
      <c r="E58" s="9">
        <f t="shared" si="5"/>
        <v>6204.0450000000001</v>
      </c>
      <c r="F58" s="10">
        <f t="shared" si="6"/>
        <v>0.42572188293419339</v>
      </c>
      <c r="G58" s="11" t="str">
        <f t="shared" si="7"/>
        <v>Excelente</v>
      </c>
    </row>
    <row r="59" spans="1:7" x14ac:dyDescent="0.25">
      <c r="A59" s="2" t="s">
        <v>43</v>
      </c>
      <c r="B59" s="3">
        <v>7858.9</v>
      </c>
      <c r="C59" s="3">
        <f t="shared" si="4"/>
        <v>510.05500000000006</v>
      </c>
      <c r="D59" s="3">
        <v>14573</v>
      </c>
      <c r="E59" s="4">
        <f t="shared" si="5"/>
        <v>6204.0450000000001</v>
      </c>
      <c r="F59" s="5">
        <f t="shared" si="6"/>
        <v>0.42572188293419339</v>
      </c>
      <c r="G59" s="6" t="str">
        <f t="shared" si="7"/>
        <v>Excelente</v>
      </c>
    </row>
    <row r="60" spans="1:7" x14ac:dyDescent="0.25">
      <c r="A60" s="7" t="s">
        <v>44</v>
      </c>
      <c r="B60" s="8">
        <v>7858.9</v>
      </c>
      <c r="C60" s="8">
        <f t="shared" si="4"/>
        <v>510.05500000000006</v>
      </c>
      <c r="D60" s="8">
        <v>14573</v>
      </c>
      <c r="E60" s="9">
        <f t="shared" si="5"/>
        <v>6204.0450000000001</v>
      </c>
      <c r="F60" s="10">
        <f t="shared" si="6"/>
        <v>0.42572188293419339</v>
      </c>
      <c r="G60" s="11" t="str">
        <f t="shared" si="7"/>
        <v>Excelente</v>
      </c>
    </row>
    <row r="61" spans="1:7" x14ac:dyDescent="0.25">
      <c r="A61" s="2" t="s">
        <v>45</v>
      </c>
      <c r="B61" s="3">
        <v>7858.9</v>
      </c>
      <c r="C61" s="3">
        <f t="shared" si="4"/>
        <v>510.05500000000006</v>
      </c>
      <c r="D61" s="3">
        <v>14573</v>
      </c>
      <c r="E61" s="4">
        <f t="shared" si="5"/>
        <v>6204.0450000000001</v>
      </c>
      <c r="F61" s="5">
        <f t="shared" si="6"/>
        <v>0.42572188293419339</v>
      </c>
      <c r="G61" s="6" t="str">
        <f t="shared" si="7"/>
        <v>Excelente</v>
      </c>
    </row>
    <row r="62" spans="1:7" x14ac:dyDescent="0.25">
      <c r="A62" s="7" t="s">
        <v>46</v>
      </c>
      <c r="B62" s="8">
        <v>10591</v>
      </c>
      <c r="C62" s="8">
        <f t="shared" si="4"/>
        <v>687.40000000000009</v>
      </c>
      <c r="D62" s="8">
        <v>19640</v>
      </c>
      <c r="E62" s="9">
        <f t="shared" si="5"/>
        <v>8361.6</v>
      </c>
      <c r="F62" s="10">
        <f t="shared" si="6"/>
        <v>0.42574338085539715</v>
      </c>
      <c r="G62" s="11" t="str">
        <f t="shared" si="7"/>
        <v>Excelente</v>
      </c>
    </row>
    <row r="63" spans="1:7" x14ac:dyDescent="0.25">
      <c r="A63" s="2" t="s">
        <v>47</v>
      </c>
      <c r="B63" s="3">
        <v>9807.7000000000007</v>
      </c>
      <c r="C63" s="3">
        <f t="shared" si="4"/>
        <v>636.54500000000007</v>
      </c>
      <c r="D63" s="3">
        <v>18187</v>
      </c>
      <c r="E63" s="4">
        <f t="shared" si="5"/>
        <v>7742.7549999999992</v>
      </c>
      <c r="F63" s="5">
        <f t="shared" si="6"/>
        <v>0.42573019189530981</v>
      </c>
      <c r="G63" s="6" t="str">
        <f t="shared" si="7"/>
        <v>Excelente</v>
      </c>
    </row>
    <row r="64" spans="1:7" x14ac:dyDescent="0.25">
      <c r="A64" s="7" t="s">
        <v>48</v>
      </c>
      <c r="B64" s="8">
        <v>9924.6</v>
      </c>
      <c r="C64" s="8">
        <f t="shared" si="4"/>
        <v>644.1400000000001</v>
      </c>
      <c r="D64" s="8">
        <v>18404</v>
      </c>
      <c r="E64" s="9">
        <f t="shared" si="5"/>
        <v>7835.2599999999993</v>
      </c>
      <c r="F64" s="10">
        <f t="shared" si="6"/>
        <v>0.42573679634861983</v>
      </c>
      <c r="G64" s="11" t="str">
        <f t="shared" si="7"/>
        <v>Excelente</v>
      </c>
    </row>
    <row r="65" spans="1:7" x14ac:dyDescent="0.25">
      <c r="A65" s="2" t="s">
        <v>49</v>
      </c>
      <c r="B65" s="3">
        <v>9424.7999999999993</v>
      </c>
      <c r="C65" s="3">
        <f t="shared" si="4"/>
        <v>611.69500000000005</v>
      </c>
      <c r="D65" s="3">
        <v>17477</v>
      </c>
      <c r="E65" s="4">
        <f t="shared" si="5"/>
        <v>7440.505000000001</v>
      </c>
      <c r="F65" s="5">
        <f t="shared" si="6"/>
        <v>0.42573124678148427</v>
      </c>
      <c r="G65" s="6" t="str">
        <f t="shared" si="7"/>
        <v>Excelente</v>
      </c>
    </row>
    <row r="66" spans="1:7" x14ac:dyDescent="0.25">
      <c r="A66" s="7" t="s">
        <v>50</v>
      </c>
      <c r="B66" s="8">
        <v>8508.5</v>
      </c>
      <c r="C66" s="8">
        <f t="shared" si="4"/>
        <v>552.23</v>
      </c>
      <c r="D66" s="8">
        <v>15778</v>
      </c>
      <c r="E66" s="9">
        <f t="shared" si="5"/>
        <v>6717.27</v>
      </c>
      <c r="F66" s="10">
        <f t="shared" si="6"/>
        <v>0.42573646850044367</v>
      </c>
      <c r="G66" s="11" t="str">
        <f t="shared" si="7"/>
        <v>Excelente</v>
      </c>
    </row>
    <row r="67" spans="1:7" x14ac:dyDescent="0.25">
      <c r="A67" s="2" t="s">
        <v>51</v>
      </c>
      <c r="B67" s="3">
        <v>9841.2999999999993</v>
      </c>
      <c r="C67" s="3">
        <f t="shared" si="4"/>
        <v>638.71500000000003</v>
      </c>
      <c r="D67" s="3">
        <v>18249</v>
      </c>
      <c r="E67" s="4">
        <f t="shared" si="5"/>
        <v>7768.9850000000006</v>
      </c>
      <c r="F67" s="5">
        <f t="shared" si="6"/>
        <v>0.42572113540467976</v>
      </c>
      <c r="G67" s="6" t="str">
        <f t="shared" si="7"/>
        <v>Excelente</v>
      </c>
    </row>
    <row r="68" spans="1:7" x14ac:dyDescent="0.25">
      <c r="A68" s="7" t="s">
        <v>52</v>
      </c>
      <c r="B68" s="8">
        <v>4925.2000000000007</v>
      </c>
      <c r="C68" s="8">
        <f t="shared" si="4"/>
        <v>319.65500000000003</v>
      </c>
      <c r="D68" s="8">
        <v>9133</v>
      </c>
      <c r="E68" s="9">
        <f t="shared" si="5"/>
        <v>3888.1449999999991</v>
      </c>
      <c r="F68" s="10">
        <f t="shared" si="6"/>
        <v>0.42572484397240767</v>
      </c>
      <c r="G68" s="11" t="str">
        <f t="shared" si="7"/>
        <v>Excelente</v>
      </c>
    </row>
    <row r="69" spans="1:7" x14ac:dyDescent="0.25">
      <c r="A69" s="2" t="s">
        <v>53</v>
      </c>
      <c r="B69" s="3">
        <v>10591</v>
      </c>
      <c r="C69" s="3">
        <f t="shared" ref="C69:C100" si="8">D69*0.035</f>
        <v>687.40000000000009</v>
      </c>
      <c r="D69" s="3">
        <v>19640</v>
      </c>
      <c r="E69" s="4">
        <f t="shared" ref="E69:E100" si="9">D69-B69-C69</f>
        <v>8361.6</v>
      </c>
      <c r="F69" s="5">
        <f t="shared" ref="F69:F100" si="10">E69/D69</f>
        <v>0.42574338085539715</v>
      </c>
      <c r="G69" s="6" t="str">
        <f t="shared" ref="G69:G100" si="11">IF(F69&gt;=0.4,"Excelente",IF(F69&gt;=0.25,"Bueno","Ajustar"))</f>
        <v>Excelente</v>
      </c>
    </row>
    <row r="70" spans="1:7" x14ac:dyDescent="0.25">
      <c r="A70" s="7" t="s">
        <v>54</v>
      </c>
      <c r="B70" s="8">
        <v>4925.2000000000007</v>
      </c>
      <c r="C70" s="8">
        <f t="shared" si="8"/>
        <v>319.65500000000003</v>
      </c>
      <c r="D70" s="8">
        <v>9133</v>
      </c>
      <c r="E70" s="9">
        <f t="shared" si="9"/>
        <v>3888.1449999999991</v>
      </c>
      <c r="F70" s="10">
        <f t="shared" si="10"/>
        <v>0.42572484397240767</v>
      </c>
      <c r="G70" s="11" t="str">
        <f t="shared" si="11"/>
        <v>Excelente</v>
      </c>
    </row>
    <row r="71" spans="1:7" x14ac:dyDescent="0.25">
      <c r="A71" s="2" t="s">
        <v>55</v>
      </c>
      <c r="B71" s="3">
        <v>9758</v>
      </c>
      <c r="C71" s="3">
        <f t="shared" si="8"/>
        <v>633.32500000000005</v>
      </c>
      <c r="D71" s="3">
        <v>18095</v>
      </c>
      <c r="E71" s="4">
        <f t="shared" si="9"/>
        <v>7703.6750000000002</v>
      </c>
      <c r="F71" s="5">
        <f t="shared" si="10"/>
        <v>0.42573500967117989</v>
      </c>
      <c r="G71" s="6" t="str">
        <f t="shared" si="11"/>
        <v>Excelente</v>
      </c>
    </row>
    <row r="72" spans="1:7" x14ac:dyDescent="0.25">
      <c r="A72" s="7" t="s">
        <v>56</v>
      </c>
      <c r="B72" s="8">
        <v>9674.7000000000007</v>
      </c>
      <c r="C72" s="8">
        <f t="shared" si="8"/>
        <v>627.90000000000009</v>
      </c>
      <c r="D72" s="8">
        <v>17940</v>
      </c>
      <c r="E72" s="9">
        <f t="shared" si="9"/>
        <v>7637.4</v>
      </c>
      <c r="F72" s="10">
        <f t="shared" si="10"/>
        <v>0.42571906354515049</v>
      </c>
      <c r="G72" s="11" t="str">
        <f t="shared" si="11"/>
        <v>Excelente</v>
      </c>
    </row>
    <row r="73" spans="1:7" x14ac:dyDescent="0.25">
      <c r="A73" s="2" t="s">
        <v>57</v>
      </c>
      <c r="B73" s="3">
        <v>9749.6</v>
      </c>
      <c r="C73" s="3">
        <f t="shared" si="8"/>
        <v>632.7650000000001</v>
      </c>
      <c r="D73" s="3">
        <v>18079</v>
      </c>
      <c r="E73" s="4">
        <f t="shared" si="9"/>
        <v>7696.6349999999993</v>
      </c>
      <c r="F73" s="5">
        <f t="shared" si="10"/>
        <v>0.42572238508767074</v>
      </c>
      <c r="G73" s="6" t="str">
        <f t="shared" si="11"/>
        <v>Excelente</v>
      </c>
    </row>
    <row r="74" spans="1:7" x14ac:dyDescent="0.25">
      <c r="A74" s="7" t="s">
        <v>58</v>
      </c>
      <c r="B74" s="8">
        <v>8899.7999999999993</v>
      </c>
      <c r="C74" s="8">
        <f t="shared" si="8"/>
        <v>577.6400000000001</v>
      </c>
      <c r="D74" s="8">
        <v>16504</v>
      </c>
      <c r="E74" s="9">
        <f t="shared" si="9"/>
        <v>7026.56</v>
      </c>
      <c r="F74" s="10">
        <f t="shared" si="10"/>
        <v>0.42574890935530785</v>
      </c>
      <c r="G74" s="11" t="str">
        <f t="shared" si="11"/>
        <v>Excelente</v>
      </c>
    </row>
    <row r="75" spans="1:7" x14ac:dyDescent="0.25">
      <c r="A75" s="2" t="s">
        <v>59</v>
      </c>
      <c r="B75" s="3">
        <v>14756</v>
      </c>
      <c r="C75" s="3">
        <f t="shared" si="8"/>
        <v>957.70500000000004</v>
      </c>
      <c r="D75" s="3">
        <v>27363</v>
      </c>
      <c r="E75" s="4">
        <f t="shared" si="9"/>
        <v>11649.295</v>
      </c>
      <c r="F75" s="5">
        <f t="shared" si="10"/>
        <v>0.42573164492197491</v>
      </c>
      <c r="G75" s="6" t="str">
        <f t="shared" si="11"/>
        <v>Excelente</v>
      </c>
    </row>
    <row r="76" spans="1:7" x14ac:dyDescent="0.25">
      <c r="A76" s="7" t="s">
        <v>60</v>
      </c>
      <c r="B76" s="8">
        <v>14756</v>
      </c>
      <c r="C76" s="8">
        <f t="shared" si="8"/>
        <v>957.70500000000004</v>
      </c>
      <c r="D76" s="8">
        <v>27363</v>
      </c>
      <c r="E76" s="9">
        <f t="shared" si="9"/>
        <v>11649.295</v>
      </c>
      <c r="F76" s="10">
        <f t="shared" si="10"/>
        <v>0.42573164492197491</v>
      </c>
      <c r="G76" s="11" t="str">
        <f t="shared" si="11"/>
        <v>Excelente</v>
      </c>
    </row>
    <row r="77" spans="1:7" x14ac:dyDescent="0.25">
      <c r="A77" s="2" t="s">
        <v>61</v>
      </c>
      <c r="B77" s="3">
        <v>12423.6</v>
      </c>
      <c r="C77" s="3">
        <f t="shared" si="8"/>
        <v>806.33</v>
      </c>
      <c r="D77" s="3">
        <v>23038</v>
      </c>
      <c r="E77" s="4">
        <f t="shared" si="9"/>
        <v>9808.07</v>
      </c>
      <c r="F77" s="5">
        <f t="shared" si="10"/>
        <v>0.42573443875336398</v>
      </c>
      <c r="G77" s="6" t="str">
        <f t="shared" si="11"/>
        <v>Excelente</v>
      </c>
    </row>
    <row r="78" spans="1:7" x14ac:dyDescent="0.25">
      <c r="A78" s="7" t="s">
        <v>62</v>
      </c>
      <c r="B78" s="8">
        <v>13923</v>
      </c>
      <c r="C78" s="8">
        <f t="shared" si="8"/>
        <v>903.63000000000011</v>
      </c>
      <c r="D78" s="8">
        <v>25818</v>
      </c>
      <c r="E78" s="9">
        <f t="shared" si="9"/>
        <v>10991.369999999999</v>
      </c>
      <c r="F78" s="10">
        <f t="shared" si="10"/>
        <v>0.42572507552870087</v>
      </c>
      <c r="G78" s="11" t="str">
        <f t="shared" si="11"/>
        <v>Excelente</v>
      </c>
    </row>
    <row r="79" spans="1:7" x14ac:dyDescent="0.25">
      <c r="A79" s="2" t="s">
        <v>63</v>
      </c>
      <c r="B79" s="3">
        <v>8565.2000000000007</v>
      </c>
      <c r="C79" s="3">
        <f t="shared" si="8"/>
        <v>555.90500000000009</v>
      </c>
      <c r="D79" s="3">
        <v>15883</v>
      </c>
      <c r="E79" s="4">
        <f t="shared" si="9"/>
        <v>6761.8949999999995</v>
      </c>
      <c r="F79" s="5">
        <f t="shared" si="10"/>
        <v>0.42573159982371084</v>
      </c>
      <c r="G79" s="6" t="str">
        <f t="shared" si="11"/>
        <v>Excelente</v>
      </c>
    </row>
    <row r="81" spans="1:7" x14ac:dyDescent="0.25">
      <c r="A81" s="12" t="s">
        <v>64</v>
      </c>
      <c r="B81" s="13">
        <f>AVERAGE(B5:B79)</f>
        <v>8966.4306666666726</v>
      </c>
      <c r="C81" s="13">
        <f>AVERAGE(C5:C79)</f>
        <v>581.9501333333335</v>
      </c>
      <c r="D81" s="13">
        <f>AVERAGE(D5:D79)</f>
        <v>16627.146666666667</v>
      </c>
      <c r="E81" s="13">
        <f>AVERAGE(E5:E79)</f>
        <v>7078.7658666666648</v>
      </c>
      <c r="F81" s="14">
        <f>AVERAGE(F5:F79)</f>
        <v>0.4257355293648174</v>
      </c>
      <c r="G81" s="12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Margen Shopify 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2026-09-07T14:54:04Z</dcterms:created>
  <dcterms:modified xsi:type="dcterms:W3CDTF">2026-09-09T03:44:39Z</dcterms:modified>
</cp:coreProperties>
</file>