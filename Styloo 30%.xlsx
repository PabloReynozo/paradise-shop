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0490" windowHeight="7530"/>
  </bookViews>
  <sheets>
    <sheet name="Ventas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E2" i="1"/>
  <c r="G2" i="1"/>
  <c r="D3" i="1"/>
  <c r="E3" i="1"/>
  <c r="G3" i="1"/>
  <c r="D4" i="1"/>
  <c r="E4" i="1"/>
  <c r="G4" i="1"/>
  <c r="D5" i="1"/>
  <c r="E5" i="1"/>
  <c r="G5" i="1"/>
  <c r="D6" i="1"/>
  <c r="E6" i="1"/>
  <c r="G6" i="1"/>
  <c r="D7" i="1"/>
  <c r="E7" i="1"/>
  <c r="G7" i="1"/>
  <c r="D8" i="1"/>
  <c r="E8" i="1"/>
  <c r="G8" i="1"/>
  <c r="D9" i="1"/>
  <c r="E9" i="1"/>
  <c r="G9" i="1"/>
  <c r="D10" i="1"/>
  <c r="E10" i="1"/>
  <c r="G10" i="1"/>
  <c r="D11" i="1"/>
  <c r="E11" i="1"/>
  <c r="G11" i="1"/>
  <c r="D12" i="1"/>
  <c r="E12" i="1"/>
  <c r="G12" i="1"/>
  <c r="D13" i="1"/>
  <c r="E13" i="1"/>
  <c r="G13" i="1"/>
  <c r="D14" i="1"/>
  <c r="E14" i="1"/>
  <c r="G14" i="1"/>
  <c r="D15" i="1"/>
  <c r="E15" i="1"/>
  <c r="G15" i="1"/>
  <c r="D16" i="1"/>
  <c r="E16" i="1"/>
  <c r="G16" i="1"/>
  <c r="D17" i="1"/>
  <c r="E17" i="1"/>
  <c r="G17" i="1"/>
  <c r="D18" i="1"/>
  <c r="E18" i="1"/>
  <c r="G18" i="1"/>
  <c r="D19" i="1"/>
  <c r="E19" i="1"/>
  <c r="G19" i="1"/>
  <c r="D20" i="1"/>
  <c r="E20" i="1"/>
  <c r="G20" i="1"/>
  <c r="D21" i="1"/>
  <c r="E21" i="1"/>
  <c r="G21" i="1"/>
  <c r="D22" i="1"/>
  <c r="E22" i="1"/>
  <c r="G22" i="1"/>
  <c r="D23" i="1"/>
  <c r="E23" i="1"/>
  <c r="G23" i="1"/>
  <c r="D24" i="1"/>
  <c r="E24" i="1"/>
  <c r="G24" i="1"/>
  <c r="D25" i="1"/>
  <c r="E25" i="1"/>
  <c r="G25" i="1"/>
  <c r="D26" i="1"/>
  <c r="E26" i="1"/>
  <c r="G26" i="1"/>
  <c r="D27" i="1"/>
  <c r="E27" i="1"/>
  <c r="G27" i="1"/>
  <c r="D28" i="1"/>
  <c r="E28" i="1"/>
  <c r="G28" i="1"/>
  <c r="D29" i="1"/>
  <c r="E29" i="1"/>
  <c r="G29" i="1"/>
  <c r="D30" i="1"/>
  <c r="E30" i="1"/>
  <c r="G30" i="1"/>
  <c r="D31" i="1"/>
  <c r="E31" i="1"/>
  <c r="G31" i="1"/>
  <c r="D32" i="1"/>
  <c r="E32" i="1"/>
  <c r="G32" i="1"/>
  <c r="D33" i="1"/>
  <c r="E33" i="1"/>
  <c r="G33" i="1"/>
  <c r="D34" i="1"/>
  <c r="E34" i="1"/>
  <c r="G34" i="1"/>
  <c r="D35" i="1"/>
  <c r="E35" i="1"/>
  <c r="G35" i="1"/>
  <c r="D36" i="1"/>
  <c r="E36" i="1"/>
  <c r="G36" i="1"/>
  <c r="D37" i="1"/>
  <c r="E37" i="1"/>
  <c r="G37" i="1"/>
  <c r="D38" i="1"/>
  <c r="E38" i="1"/>
  <c r="G38" i="1"/>
  <c r="D39" i="1"/>
  <c r="E39" i="1"/>
  <c r="G39" i="1"/>
  <c r="D40" i="1"/>
  <c r="E40" i="1"/>
  <c r="G40" i="1"/>
  <c r="D41" i="1"/>
  <c r="E41" i="1"/>
  <c r="G41" i="1"/>
  <c r="D42" i="1"/>
  <c r="E42" i="1"/>
  <c r="G42" i="1"/>
  <c r="D43" i="1"/>
  <c r="E43" i="1"/>
  <c r="G43" i="1"/>
  <c r="D44" i="1"/>
  <c r="E44" i="1"/>
  <c r="G44" i="1"/>
  <c r="D45" i="1"/>
  <c r="E45" i="1"/>
  <c r="G45" i="1"/>
  <c r="D46" i="1"/>
  <c r="E46" i="1"/>
  <c r="G46" i="1"/>
  <c r="D47" i="1"/>
  <c r="E47" i="1"/>
  <c r="G47" i="1"/>
  <c r="D48" i="1"/>
  <c r="E48" i="1"/>
  <c r="G48" i="1"/>
  <c r="D49" i="1"/>
  <c r="E49" i="1"/>
  <c r="G49" i="1"/>
  <c r="D50" i="1"/>
  <c r="E50" i="1"/>
  <c r="G50" i="1"/>
  <c r="D51" i="1"/>
  <c r="E51" i="1"/>
  <c r="G51" i="1"/>
  <c r="D52" i="1"/>
  <c r="E52" i="1"/>
  <c r="G52" i="1"/>
  <c r="D53" i="1"/>
  <c r="E53" i="1"/>
  <c r="G53" i="1"/>
  <c r="D54" i="1"/>
  <c r="E54" i="1"/>
  <c r="G54" i="1"/>
  <c r="D55" i="1"/>
  <c r="E55" i="1"/>
  <c r="G55" i="1"/>
  <c r="D56" i="1"/>
  <c r="E56" i="1"/>
  <c r="G56" i="1"/>
  <c r="D57" i="1"/>
  <c r="E57" i="1"/>
  <c r="G57" i="1"/>
  <c r="D58" i="1"/>
  <c r="E58" i="1"/>
  <c r="G58" i="1"/>
  <c r="D59" i="1"/>
  <c r="E59" i="1"/>
  <c r="G59" i="1"/>
  <c r="D60" i="1"/>
  <c r="E60" i="1"/>
  <c r="G60" i="1"/>
  <c r="D61" i="1"/>
  <c r="E61" i="1"/>
  <c r="G61" i="1"/>
  <c r="D62" i="1"/>
  <c r="E62" i="1"/>
  <c r="G62" i="1"/>
  <c r="D63" i="1"/>
  <c r="E63" i="1"/>
  <c r="G63" i="1"/>
  <c r="D64" i="1"/>
  <c r="E64" i="1"/>
  <c r="G64" i="1"/>
  <c r="D65" i="1"/>
  <c r="E65" i="1"/>
  <c r="G65" i="1"/>
  <c r="D66" i="1"/>
  <c r="E66" i="1"/>
  <c r="G66" i="1"/>
  <c r="D67" i="1"/>
  <c r="E67" i="1"/>
  <c r="G67" i="1"/>
  <c r="D68" i="1"/>
  <c r="E68" i="1"/>
  <c r="G68" i="1"/>
  <c r="D69" i="1"/>
  <c r="E69" i="1"/>
  <c r="G69" i="1"/>
  <c r="D70" i="1"/>
  <c r="E70" i="1"/>
  <c r="G70" i="1"/>
  <c r="D71" i="1"/>
  <c r="E71" i="1"/>
  <c r="G71" i="1"/>
  <c r="D72" i="1"/>
  <c r="E72" i="1"/>
  <c r="G72" i="1"/>
  <c r="D73" i="1"/>
  <c r="E73" i="1"/>
  <c r="G73" i="1"/>
  <c r="D74" i="1"/>
  <c r="E74" i="1"/>
  <c r="G74" i="1"/>
  <c r="D75" i="1"/>
  <c r="E75" i="1"/>
  <c r="G75" i="1"/>
  <c r="D76" i="1"/>
  <c r="E76" i="1"/>
  <c r="G76" i="1"/>
</calcChain>
</file>

<file path=xl/sharedStrings.xml><?xml version="1.0" encoding="utf-8"?>
<sst xmlns="http://schemas.openxmlformats.org/spreadsheetml/2006/main" count="81" uniqueCount="61">
  <si>
    <t>Lamina DTF impresa A4</t>
  </si>
  <si>
    <t>Falda pantalón</t>
  </si>
  <si>
    <t>Bermuda Sport 2026</t>
  </si>
  <si>
    <t>Polerón Hombre Capucha bicolor o cierre</t>
  </si>
  <si>
    <t>Poleron Bicolor Mujer</t>
  </si>
  <si>
    <t>Polera Mujer Rosa claro</t>
  </si>
  <si>
    <t>Polera Hombre golden</t>
  </si>
  <si>
    <t>Tazón Premium Color Celeste</t>
  </si>
  <si>
    <t>Tazón Interior y Mango Color 11 oz</t>
  </si>
  <si>
    <t>Placa Identificadora Mascota</t>
  </si>
  <si>
    <t>Mochila Resistente Al Agua</t>
  </si>
  <si>
    <t>Llavero Rectangular 40x76 mm</t>
  </si>
  <si>
    <t>Funda Almohada Charpie 50x70 cm</t>
  </si>
  <si>
    <t>Cuello Multifuncional</t>
  </si>
  <si>
    <t>Collar Bandana Para Mascota Talla L</t>
  </si>
  <si>
    <t>Calcetín Mediano</t>
  </si>
  <si>
    <t>Botella de Aluminio Tapa Rosca 850 ml</t>
  </si>
  <si>
    <t>Alfombrilla Game Pad</t>
  </si>
  <si>
    <t>Bolsa Crudo Algodón</t>
  </si>
  <si>
    <t>Mochila multiusos Zenitsu</t>
  </si>
  <si>
    <t>Mochila multiusos Panda</t>
  </si>
  <si>
    <t>Mochila multiusos Cocodrilo</t>
  </si>
  <si>
    <t>Polera Hombre algodón Orgánico Noise</t>
  </si>
  <si>
    <t>Polera Hombre algodón Orgánico king</t>
  </si>
  <si>
    <t>Polera Nezuco Kamado</t>
  </si>
  <si>
    <t>Polera Medusa Styloo</t>
  </si>
  <si>
    <t>Polera Lord Sith</t>
  </si>
  <si>
    <t>Polera Jason Voorhees</t>
  </si>
  <si>
    <t>Polera Fuck Wars</t>
  </si>
  <si>
    <t>Polera Fighter rabbit efecto cuero</t>
  </si>
  <si>
    <t>Polera Akaza (Demon Slayer)</t>
  </si>
  <si>
    <t>Funda De Cojin ahegao</t>
  </si>
  <si>
    <t>Funda De Cojin akaza</t>
  </si>
  <si>
    <t>Funda De Cojin charmander</t>
  </si>
  <si>
    <t>Funda De Cojin Luffy</t>
  </si>
  <si>
    <t>Funda De Cojin MAJIN BOO</t>
  </si>
  <si>
    <t>Funda De Cojin Papá naruto</t>
  </si>
  <si>
    <t>Funda De Cojin nezuko demonio</t>
  </si>
  <si>
    <t>Funda De Cojin pikachu</t>
  </si>
  <si>
    <t>Funda De Cojin pilar</t>
  </si>
  <si>
    <t>Funda De Cojin roshi</t>
  </si>
  <si>
    <t>Funda De Cojin sailor mars</t>
  </si>
  <si>
    <t>Funda De Cojin sailor moon</t>
  </si>
  <si>
    <t>Funda De Cojin sailors</t>
  </si>
  <si>
    <t>Funda De Cojin spy x family</t>
  </si>
  <si>
    <t>Funda De Cojin spy x family bond</t>
  </si>
  <si>
    <t>Funda De Cojin Tanjiro</t>
  </si>
  <si>
    <t>Funda Cojín Charpie Sublimable 200 g 40x40 cm tokyo revengers</t>
  </si>
  <si>
    <t>Polera ML Raglan Cottonext 100% Algodón 180 Grs Cottonext Raglan 1800</t>
  </si>
  <si>
    <t>Polera MC Lycra Mujer Cottonext 95% Algodón y 5% Lycra 160 Grs Cottonext ELAS1600</t>
  </si>
  <si>
    <t>Polera Oversize Cottonext 80% Algodón 20% poliéster 280 Grs Cottonext OV2800</t>
  </si>
  <si>
    <t>Canguro Old Brits Crop Top Mujer 60% Algodón Franela Cardada 285 Grs</t>
  </si>
  <si>
    <t>Polera Mujer MC Old Brits 100% Algodón 160 Grs Old Brits M1600</t>
  </si>
  <si>
    <t>Polera Hombre MC Old Brits 100% Algodón 160 Grs Old Brits H1600</t>
  </si>
  <si>
    <t>Polera MC Niño Old Brits 100% Algodón 160 Grs Old Brits N1600</t>
  </si>
  <si>
    <t>Total</t>
  </si>
  <si>
    <t>Cantidad</t>
  </si>
  <si>
    <t>Total venta</t>
  </si>
  <si>
    <t>Descuento 30%</t>
  </si>
  <si>
    <t>Valor Producto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</si>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</sst>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theme="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164" fontId="0" fillId="0" borderId="1" xfId="0" applyNumberFormat="1" applyBorder="1"/>
    <xf numFmtId="0" fontId="0" fillId="2" borderId="1" xfId="0" applyFill="1" applyBorder="1"/>
    <xf numFmtId="164" fontId="0" fillId="0" borderId="1" xfId="0" applyNumberFormat="1" applyBorder="1" applyAlignment="1">
      <alignment horizontal="center"/>
    </xf>
    <xf numFmtId="0" fontId="0" fillId="3" borderId="1" xfId="0" applyFont="1" applyFill="1" applyBorder="1"/>
    <xf numFmtId="0" fontId="0" fillId="4" borderId="1" xfId="0" applyFont="1" applyFill="1" applyBorder="1"/>
    <xf numFmtId="0" fontId="0" fillId="5" borderId="1" xfId="0" applyFont="1" applyFill="1" applyBorder="1"/>
    <xf numFmtId="0" fontId="0" fillId="6" borderId="1" xfId="0" applyFont="1" applyFill="1" applyBorder="1"/>
    <xf numFmtId="0" fontId="1" fillId="7" borderId="1" xfId="1" applyFill="1" applyBorder="1" applyAlignment="1">
      <alignment horizontal="left"/>
    </xf>
    <xf numFmtId="0" fontId="1" fillId="2" borderId="1" xfId="1" applyFill="1" applyBorder="1" applyAlignment="1">
      <alignment horizontal="left"/>
    </xf>
    <xf numFmtId="0" fontId="1" fillId="8" borderId="1" xfId="1" applyFill="1" applyBorder="1" applyAlignment="1">
      <alignment horizontal="left"/>
    </xf>
    <xf numFmtId="0" fontId="1" fillId="9" borderId="1" xfId="1" applyFill="1" applyBorder="1" applyAlignment="1">
      <alignment horizontal="left"/>
    </xf>
    <xf numFmtId="0" fontId="1" fillId="4" borderId="1" xfId="1" applyFill="1" applyBorder="1" applyAlignment="1">
      <alignment horizontal="left"/>
    </xf>
    <xf numFmtId="0" fontId="1" fillId="10" borderId="1" xfId="1" applyFill="1" applyBorder="1" applyAlignment="1">
      <alignment horizontal="left"/>
    </xf>
    <xf numFmtId="0" fontId="1" fillId="11" borderId="1" xfId="1" applyFill="1" applyBorder="1" applyAlignment="1">
      <alignment horizontal="left"/>
    </xf>
    <xf numFmtId="0" fontId="2" fillId="12" borderId="2" xfId="1" applyFont="1" applyFill="1" applyBorder="1" applyAlignment="1">
      <alignment horizontal="center"/>
    </xf>
    <xf numFmtId="0" fontId="2" fillId="12" borderId="3" xfId="1" applyFont="1" applyFill="1" applyBorder="1" applyAlignment="1">
      <alignment horizontal="center"/>
    </xf>
    <xf numFmtId="0" fontId="2" fillId="12" borderId="1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76"/>
  <sheetViews>
    <sheetView tabSelected="1" workbookViewId="0">
      <selection activeCell="H12" sqref="H12"/>
    </sheetView>
  </sheetViews>
  <sheetFormatPr baseColWidth="10" defaultRowHeight="15" x14ac:dyDescent="0.25"/>
  <cols>
    <col min="1" max="1" width="3.140625" customWidth="1"/>
    <col min="2" max="2" width="77.28515625" bestFit="1" customWidth="1"/>
    <col min="3" max="3" width="17.140625" style="1" customWidth="1"/>
    <col min="4" max="4" width="16" style="1" customWidth="1"/>
    <col min="5" max="5" width="14.42578125" customWidth="1"/>
  </cols>
  <sheetData>
    <row r="1" spans="2:7" x14ac:dyDescent="0.25">
      <c r="B1" s="18" t="s">
        <v>60</v>
      </c>
      <c r="C1" s="18" t="s">
        <v>59</v>
      </c>
      <c r="D1" s="18" t="s">
        <v>58</v>
      </c>
      <c r="E1" s="18" t="s">
        <v>57</v>
      </c>
      <c r="F1" s="17" t="s">
        <v>56</v>
      </c>
      <c r="G1" s="16" t="s">
        <v>55</v>
      </c>
    </row>
    <row r="2" spans="2:7" x14ac:dyDescent="0.25">
      <c r="B2" s="15" t="s">
        <v>54</v>
      </c>
      <c r="C2" s="4">
        <v>11548</v>
      </c>
      <c r="D2" s="4">
        <f>C2*30%</f>
        <v>3464.4</v>
      </c>
      <c r="E2" s="2">
        <f>C2-D2</f>
        <v>8083.6</v>
      </c>
      <c r="F2" s="3"/>
      <c r="G2" s="2">
        <f>E2*F2</f>
        <v>0</v>
      </c>
    </row>
    <row r="3" spans="2:7" x14ac:dyDescent="0.25">
      <c r="B3" s="15" t="s">
        <v>54</v>
      </c>
      <c r="C3" s="4">
        <v>11548</v>
      </c>
      <c r="D3" s="4">
        <f>C3*30%</f>
        <v>3464.4</v>
      </c>
      <c r="E3" s="2">
        <f>C3-D3</f>
        <v>8083.6</v>
      </c>
      <c r="F3" s="3"/>
      <c r="G3" s="2">
        <f>E3*F3</f>
        <v>0</v>
      </c>
    </row>
    <row r="4" spans="2:7" x14ac:dyDescent="0.25">
      <c r="B4" s="15" t="s">
        <v>54</v>
      </c>
      <c r="C4" s="4">
        <v>11548</v>
      </c>
      <c r="D4" s="4">
        <f>C4*30%</f>
        <v>3464.4</v>
      </c>
      <c r="E4" s="2">
        <f>C4-D4</f>
        <v>8083.6</v>
      </c>
      <c r="F4" s="3"/>
      <c r="G4" s="2">
        <f>E4*F4</f>
        <v>0</v>
      </c>
    </row>
    <row r="5" spans="2:7" x14ac:dyDescent="0.25">
      <c r="B5" s="15" t="s">
        <v>54</v>
      </c>
      <c r="C5" s="4">
        <v>11548</v>
      </c>
      <c r="D5" s="4">
        <f>C5*30%</f>
        <v>3464.4</v>
      </c>
      <c r="E5" s="2">
        <f>C5-D5</f>
        <v>8083.6</v>
      </c>
      <c r="F5" s="3"/>
      <c r="G5" s="2">
        <f>E5*F5</f>
        <v>0</v>
      </c>
    </row>
    <row r="6" spans="2:7" x14ac:dyDescent="0.25">
      <c r="B6" s="15" t="s">
        <v>54</v>
      </c>
      <c r="C6" s="4">
        <v>11548</v>
      </c>
      <c r="D6" s="4">
        <f>C6*30%</f>
        <v>3464.4</v>
      </c>
      <c r="E6" s="2">
        <f>C6-D6</f>
        <v>8083.6</v>
      </c>
      <c r="F6" s="3"/>
      <c r="G6" s="2">
        <f>E6*F6</f>
        <v>0</v>
      </c>
    </row>
    <row r="7" spans="2:7" x14ac:dyDescent="0.25">
      <c r="B7" s="14" t="s">
        <v>53</v>
      </c>
      <c r="C7" s="4">
        <v>11905</v>
      </c>
      <c r="D7" s="4">
        <f>C7*30%</f>
        <v>3571.5</v>
      </c>
      <c r="E7" s="2">
        <f>C7-D7</f>
        <v>8333.5</v>
      </c>
      <c r="F7" s="3"/>
      <c r="G7" s="2">
        <f>E7*F7</f>
        <v>0</v>
      </c>
    </row>
    <row r="8" spans="2:7" x14ac:dyDescent="0.25">
      <c r="B8" s="14" t="s">
        <v>53</v>
      </c>
      <c r="C8" s="4">
        <v>11905</v>
      </c>
      <c r="D8" s="4">
        <f>C8*30%</f>
        <v>3571.5</v>
      </c>
      <c r="E8" s="2">
        <f>C8-D8</f>
        <v>8333.5</v>
      </c>
      <c r="F8" s="3"/>
      <c r="G8" s="2">
        <f>E8*F8</f>
        <v>0</v>
      </c>
    </row>
    <row r="9" spans="2:7" x14ac:dyDescent="0.25">
      <c r="B9" s="14" t="s">
        <v>53</v>
      </c>
      <c r="C9" s="4">
        <v>11905</v>
      </c>
      <c r="D9" s="4">
        <f>C9*30%</f>
        <v>3571.5</v>
      </c>
      <c r="E9" s="2">
        <f>C9-D9</f>
        <v>8333.5</v>
      </c>
      <c r="F9" s="3"/>
      <c r="G9" s="2">
        <f>E9*F9</f>
        <v>0</v>
      </c>
    </row>
    <row r="10" spans="2:7" x14ac:dyDescent="0.25">
      <c r="B10" s="13" t="s">
        <v>52</v>
      </c>
      <c r="C10" s="4">
        <v>12024</v>
      </c>
      <c r="D10" s="4">
        <f>C10*30%</f>
        <v>3607.2</v>
      </c>
      <c r="E10" s="2">
        <f>C10-D10</f>
        <v>8416.7999999999993</v>
      </c>
      <c r="F10" s="3"/>
      <c r="G10" s="2">
        <f>E10*F10</f>
        <v>0</v>
      </c>
    </row>
    <row r="11" spans="2:7" x14ac:dyDescent="0.25">
      <c r="B11" s="13" t="s">
        <v>52</v>
      </c>
      <c r="C11" s="4">
        <v>12024</v>
      </c>
      <c r="D11" s="4">
        <f>C11*30%</f>
        <v>3607.2</v>
      </c>
      <c r="E11" s="2">
        <f>C11-D11</f>
        <v>8416.7999999999993</v>
      </c>
      <c r="F11" s="3"/>
      <c r="G11" s="2">
        <f>E11*F11</f>
        <v>0</v>
      </c>
    </row>
    <row r="12" spans="2:7" x14ac:dyDescent="0.25">
      <c r="B12" s="13" t="s">
        <v>52</v>
      </c>
      <c r="C12" s="4">
        <v>12024</v>
      </c>
      <c r="D12" s="4">
        <f>C12*30%</f>
        <v>3607.2</v>
      </c>
      <c r="E12" s="2">
        <f>C12-D12</f>
        <v>8416.7999999999993</v>
      </c>
      <c r="F12" s="3"/>
      <c r="G12" s="2">
        <f>E12*F12</f>
        <v>0</v>
      </c>
    </row>
    <row r="13" spans="2:7" x14ac:dyDescent="0.25">
      <c r="B13" s="13" t="s">
        <v>52</v>
      </c>
      <c r="C13" s="4">
        <v>12024</v>
      </c>
      <c r="D13" s="4">
        <f>C13*30%</f>
        <v>3607.2</v>
      </c>
      <c r="E13" s="2">
        <f>C13-D13</f>
        <v>8416.7999999999993</v>
      </c>
      <c r="F13" s="3"/>
      <c r="G13" s="2">
        <f>E13*F13</f>
        <v>0</v>
      </c>
    </row>
    <row r="14" spans="2:7" x14ac:dyDescent="0.25">
      <c r="B14" s="13" t="s">
        <v>52</v>
      </c>
      <c r="C14" s="4">
        <v>12024</v>
      </c>
      <c r="D14" s="4">
        <f>C14*30%</f>
        <v>3607.2</v>
      </c>
      <c r="E14" s="2">
        <f>C14-D14</f>
        <v>8416.7999999999993</v>
      </c>
      <c r="F14" s="3"/>
      <c r="G14" s="2">
        <f>E14*F14</f>
        <v>0</v>
      </c>
    </row>
    <row r="15" spans="2:7" x14ac:dyDescent="0.25">
      <c r="B15" s="13" t="s">
        <v>52</v>
      </c>
      <c r="C15" s="4">
        <v>12024</v>
      </c>
      <c r="D15" s="4">
        <f>C15*30%</f>
        <v>3607.2</v>
      </c>
      <c r="E15" s="2">
        <f>C15-D15</f>
        <v>8416.7999999999993</v>
      </c>
      <c r="F15" s="3"/>
      <c r="G15" s="2">
        <f>E15*F15</f>
        <v>0</v>
      </c>
    </row>
    <row r="16" spans="2:7" x14ac:dyDescent="0.25">
      <c r="B16" s="13" t="s">
        <v>52</v>
      </c>
      <c r="C16" s="4">
        <v>12024</v>
      </c>
      <c r="D16" s="4">
        <f>C16*30%</f>
        <v>3607.2</v>
      </c>
      <c r="E16" s="2">
        <f>C16-D16</f>
        <v>8416.7999999999993</v>
      </c>
      <c r="F16" s="3"/>
      <c r="G16" s="2">
        <f>E16*F16</f>
        <v>0</v>
      </c>
    </row>
    <row r="17" spans="2:7" x14ac:dyDescent="0.25">
      <c r="B17" s="12" t="s">
        <v>51</v>
      </c>
      <c r="C17" s="4">
        <v>18093</v>
      </c>
      <c r="D17" s="4">
        <f>C17*30%</f>
        <v>5427.9</v>
      </c>
      <c r="E17" s="2">
        <f>C17-D17</f>
        <v>12665.1</v>
      </c>
      <c r="F17" s="3"/>
      <c r="G17" s="2">
        <f>E17*F17</f>
        <v>0</v>
      </c>
    </row>
    <row r="18" spans="2:7" x14ac:dyDescent="0.25">
      <c r="B18" s="12" t="s">
        <v>51</v>
      </c>
      <c r="C18" s="4">
        <v>18093</v>
      </c>
      <c r="D18" s="4">
        <f>C18*30%</f>
        <v>5427.9</v>
      </c>
      <c r="E18" s="2">
        <f>C18-D18</f>
        <v>12665.1</v>
      </c>
      <c r="F18" s="3"/>
      <c r="G18" s="2">
        <f>E18*F18</f>
        <v>0</v>
      </c>
    </row>
    <row r="19" spans="2:7" x14ac:dyDescent="0.25">
      <c r="B19" s="11" t="s">
        <v>50</v>
      </c>
      <c r="C19" s="4">
        <v>17022</v>
      </c>
      <c r="D19" s="4">
        <f>C19*30%</f>
        <v>5106.5999999999995</v>
      </c>
      <c r="E19" s="2">
        <f>C19-D19</f>
        <v>11915.400000000001</v>
      </c>
      <c r="F19" s="3"/>
      <c r="G19" s="2">
        <f>E19*F19</f>
        <v>0</v>
      </c>
    </row>
    <row r="20" spans="2:7" x14ac:dyDescent="0.25">
      <c r="B20" s="11" t="s">
        <v>50</v>
      </c>
      <c r="C20" s="4">
        <v>17022</v>
      </c>
      <c r="D20" s="4">
        <f>C20*30%</f>
        <v>5106.5999999999995</v>
      </c>
      <c r="E20" s="2">
        <f>C20-D20</f>
        <v>11915.400000000001</v>
      </c>
      <c r="F20" s="3"/>
      <c r="G20" s="2">
        <f>E20*F20</f>
        <v>0</v>
      </c>
    </row>
    <row r="21" spans="2:7" x14ac:dyDescent="0.25">
      <c r="B21" s="11" t="s">
        <v>50</v>
      </c>
      <c r="C21" s="4">
        <v>17022</v>
      </c>
      <c r="D21" s="4">
        <f>C21*30%</f>
        <v>5106.5999999999995</v>
      </c>
      <c r="E21" s="2">
        <f>C21-D21</f>
        <v>11915.400000000001</v>
      </c>
      <c r="F21" s="3"/>
      <c r="G21" s="2">
        <f>E21*F21</f>
        <v>0</v>
      </c>
    </row>
    <row r="22" spans="2:7" x14ac:dyDescent="0.25">
      <c r="B22" s="10" t="s">
        <v>49</v>
      </c>
      <c r="C22" s="4">
        <v>12262</v>
      </c>
      <c r="D22" s="4">
        <f>C22*30%</f>
        <v>3678.6</v>
      </c>
      <c r="E22" s="2">
        <f>C22-D22</f>
        <v>8583.4</v>
      </c>
      <c r="F22" s="3"/>
      <c r="G22" s="2">
        <f>E22*F22</f>
        <v>0</v>
      </c>
    </row>
    <row r="23" spans="2:7" x14ac:dyDescent="0.25">
      <c r="B23" s="10" t="s">
        <v>49</v>
      </c>
      <c r="C23" s="4">
        <v>12262</v>
      </c>
      <c r="D23" s="4">
        <f>C23*30%</f>
        <v>3678.6</v>
      </c>
      <c r="E23" s="2">
        <f>C23-D23</f>
        <v>8583.4</v>
      </c>
      <c r="F23" s="3"/>
      <c r="G23" s="2">
        <f>E23*F23</f>
        <v>0</v>
      </c>
    </row>
    <row r="24" spans="2:7" x14ac:dyDescent="0.25">
      <c r="B24" s="10" t="s">
        <v>49</v>
      </c>
      <c r="C24" s="4">
        <v>12262</v>
      </c>
      <c r="D24" s="4">
        <f>C24*30%</f>
        <v>3678.6</v>
      </c>
      <c r="E24" s="2">
        <f>C24-D24</f>
        <v>8583.4</v>
      </c>
      <c r="F24" s="3"/>
      <c r="G24" s="2">
        <f>E24*F24</f>
        <v>0</v>
      </c>
    </row>
    <row r="25" spans="2:7" x14ac:dyDescent="0.25">
      <c r="B25" s="9" t="s">
        <v>48</v>
      </c>
      <c r="C25" s="4">
        <v>13809</v>
      </c>
      <c r="D25" s="4">
        <f>C25*30%</f>
        <v>4142.7</v>
      </c>
      <c r="E25" s="2">
        <f>C25-D25</f>
        <v>9666.2999999999993</v>
      </c>
      <c r="F25" s="3"/>
      <c r="G25" s="2">
        <f>E25*F25</f>
        <v>0</v>
      </c>
    </row>
    <row r="26" spans="2:7" x14ac:dyDescent="0.25">
      <c r="B26" s="9" t="s">
        <v>48</v>
      </c>
      <c r="C26" s="4">
        <v>13809</v>
      </c>
      <c r="D26" s="4">
        <f>C26*30%</f>
        <v>4142.7</v>
      </c>
      <c r="E26" s="2">
        <f>C26-D26</f>
        <v>9666.2999999999993</v>
      </c>
      <c r="F26" s="3"/>
      <c r="G26" s="2">
        <f>E26*F26</f>
        <v>0</v>
      </c>
    </row>
    <row r="27" spans="2:7" x14ac:dyDescent="0.25">
      <c r="B27" s="9" t="s">
        <v>48</v>
      </c>
      <c r="C27" s="4">
        <v>13809</v>
      </c>
      <c r="D27" s="4">
        <f>C27*30%</f>
        <v>4142.7</v>
      </c>
      <c r="E27" s="2">
        <f>C27-D27</f>
        <v>9666.2999999999993</v>
      </c>
      <c r="F27" s="3"/>
      <c r="G27" s="2">
        <f>E27*F27</f>
        <v>0</v>
      </c>
    </row>
    <row r="28" spans="2:7" x14ac:dyDescent="0.25">
      <c r="B28" s="9" t="s">
        <v>48</v>
      </c>
      <c r="C28" s="4">
        <v>13809</v>
      </c>
      <c r="D28" s="4">
        <f>C28*30%</f>
        <v>4142.7</v>
      </c>
      <c r="E28" s="2">
        <f>C28-D28</f>
        <v>9666.2999999999993</v>
      </c>
      <c r="F28" s="3"/>
      <c r="G28" s="2">
        <f>E28*F28</f>
        <v>0</v>
      </c>
    </row>
    <row r="29" spans="2:7" x14ac:dyDescent="0.25">
      <c r="B29" s="8" t="s">
        <v>47</v>
      </c>
      <c r="C29" s="4">
        <v>10477</v>
      </c>
      <c r="D29" s="4">
        <f>C29*30%</f>
        <v>3143.1</v>
      </c>
      <c r="E29" s="2">
        <f>C29-D29</f>
        <v>7333.9</v>
      </c>
      <c r="F29" s="3"/>
      <c r="G29" s="2">
        <f>E29*F29</f>
        <v>0</v>
      </c>
    </row>
    <row r="30" spans="2:7" x14ac:dyDescent="0.25">
      <c r="B30" s="8" t="s">
        <v>46</v>
      </c>
      <c r="C30" s="4">
        <v>10477</v>
      </c>
      <c r="D30" s="4">
        <f>C30*30%</f>
        <v>3143.1</v>
      </c>
      <c r="E30" s="2">
        <f>C30-D30</f>
        <v>7333.9</v>
      </c>
      <c r="F30" s="3"/>
      <c r="G30" s="2">
        <f>E30*F30</f>
        <v>0</v>
      </c>
    </row>
    <row r="31" spans="2:7" x14ac:dyDescent="0.25">
      <c r="B31" s="8" t="s">
        <v>45</v>
      </c>
      <c r="C31" s="4">
        <v>10477</v>
      </c>
      <c r="D31" s="4">
        <f>C31*30%</f>
        <v>3143.1</v>
      </c>
      <c r="E31" s="2">
        <f>C31-D31</f>
        <v>7333.9</v>
      </c>
      <c r="F31" s="3"/>
      <c r="G31" s="2">
        <f>E31*F31</f>
        <v>0</v>
      </c>
    </row>
    <row r="32" spans="2:7" x14ac:dyDescent="0.25">
      <c r="B32" s="8" t="s">
        <v>44</v>
      </c>
      <c r="C32" s="4">
        <v>10477</v>
      </c>
      <c r="D32" s="4">
        <f>C32*30%</f>
        <v>3143.1</v>
      </c>
      <c r="E32" s="2">
        <f>C32-D32</f>
        <v>7333.9</v>
      </c>
      <c r="F32" s="3"/>
      <c r="G32" s="2">
        <f>E32*F32</f>
        <v>0</v>
      </c>
    </row>
    <row r="33" spans="2:7" x14ac:dyDescent="0.25">
      <c r="B33" s="8" t="s">
        <v>43</v>
      </c>
      <c r="C33" s="4">
        <v>10477</v>
      </c>
      <c r="D33" s="4">
        <f>C33*30%</f>
        <v>3143.1</v>
      </c>
      <c r="E33" s="2">
        <f>C33-D33</f>
        <v>7333.9</v>
      </c>
      <c r="F33" s="3"/>
      <c r="G33" s="2">
        <f>E33*F33</f>
        <v>0</v>
      </c>
    </row>
    <row r="34" spans="2:7" x14ac:dyDescent="0.25">
      <c r="B34" s="8" t="s">
        <v>42</v>
      </c>
      <c r="C34" s="4">
        <v>10477</v>
      </c>
      <c r="D34" s="4">
        <f>C34*30%</f>
        <v>3143.1</v>
      </c>
      <c r="E34" s="2">
        <f>C34-D34</f>
        <v>7333.9</v>
      </c>
      <c r="F34" s="3"/>
      <c r="G34" s="2">
        <f>E34*F34</f>
        <v>0</v>
      </c>
    </row>
    <row r="35" spans="2:7" x14ac:dyDescent="0.25">
      <c r="B35" s="8" t="s">
        <v>41</v>
      </c>
      <c r="C35" s="4">
        <v>10477</v>
      </c>
      <c r="D35" s="4">
        <f>C35*30%</f>
        <v>3143.1</v>
      </c>
      <c r="E35" s="2">
        <f>C35-D35</f>
        <v>7333.9</v>
      </c>
      <c r="F35" s="3"/>
      <c r="G35" s="2">
        <f>E35*F35</f>
        <v>0</v>
      </c>
    </row>
    <row r="36" spans="2:7" x14ac:dyDescent="0.25">
      <c r="B36" s="8" t="s">
        <v>40</v>
      </c>
      <c r="C36" s="4">
        <v>10477</v>
      </c>
      <c r="D36" s="4">
        <f>C36*30%</f>
        <v>3143.1</v>
      </c>
      <c r="E36" s="2">
        <f>C36-D36</f>
        <v>7333.9</v>
      </c>
      <c r="F36" s="3"/>
      <c r="G36" s="2">
        <f>E36*F36</f>
        <v>0</v>
      </c>
    </row>
    <row r="37" spans="2:7" x14ac:dyDescent="0.25">
      <c r="B37" s="8" t="s">
        <v>39</v>
      </c>
      <c r="C37" s="4">
        <v>10477</v>
      </c>
      <c r="D37" s="4">
        <f>C37*30%</f>
        <v>3143.1</v>
      </c>
      <c r="E37" s="2">
        <f>C37-D37</f>
        <v>7333.9</v>
      </c>
      <c r="F37" s="3"/>
      <c r="G37" s="2">
        <f>E37*F37</f>
        <v>0</v>
      </c>
    </row>
    <row r="38" spans="2:7" x14ac:dyDescent="0.25">
      <c r="B38" s="8" t="s">
        <v>38</v>
      </c>
      <c r="C38" s="4">
        <v>10477</v>
      </c>
      <c r="D38" s="4">
        <f>C38*30%</f>
        <v>3143.1</v>
      </c>
      <c r="E38" s="2">
        <f>C38-D38</f>
        <v>7333.9</v>
      </c>
      <c r="F38" s="3"/>
      <c r="G38" s="2">
        <f>E38*F38</f>
        <v>0</v>
      </c>
    </row>
    <row r="39" spans="2:7" x14ac:dyDescent="0.25">
      <c r="B39" s="8" t="s">
        <v>37</v>
      </c>
      <c r="C39" s="4">
        <v>10477</v>
      </c>
      <c r="D39" s="4">
        <f>C39*30%</f>
        <v>3143.1</v>
      </c>
      <c r="E39" s="2">
        <f>C39-D39</f>
        <v>7333.9</v>
      </c>
      <c r="F39" s="3"/>
      <c r="G39" s="2">
        <f>E39*F39</f>
        <v>0</v>
      </c>
    </row>
    <row r="40" spans="2:7" x14ac:dyDescent="0.25">
      <c r="B40" s="8" t="s">
        <v>36</v>
      </c>
      <c r="C40" s="4">
        <v>10477</v>
      </c>
      <c r="D40" s="4">
        <f>C40*30%</f>
        <v>3143.1</v>
      </c>
      <c r="E40" s="2">
        <f>C40-D40</f>
        <v>7333.9</v>
      </c>
      <c r="F40" s="3"/>
      <c r="G40" s="2">
        <f>E40*F40</f>
        <v>0</v>
      </c>
    </row>
    <row r="41" spans="2:7" x14ac:dyDescent="0.25">
      <c r="B41" s="8" t="s">
        <v>35</v>
      </c>
      <c r="C41" s="4">
        <v>10477</v>
      </c>
      <c r="D41" s="4">
        <f>C41*30%</f>
        <v>3143.1</v>
      </c>
      <c r="E41" s="2">
        <f>C41-D41</f>
        <v>7333.9</v>
      </c>
      <c r="F41" s="3"/>
      <c r="G41" s="2">
        <f>E41*F41</f>
        <v>0</v>
      </c>
    </row>
    <row r="42" spans="2:7" x14ac:dyDescent="0.25">
      <c r="B42" s="8" t="s">
        <v>34</v>
      </c>
      <c r="C42" s="4">
        <v>10477</v>
      </c>
      <c r="D42" s="4">
        <f>C42*30%</f>
        <v>3143.1</v>
      </c>
      <c r="E42" s="2">
        <f>C42-D42</f>
        <v>7333.9</v>
      </c>
      <c r="F42" s="3"/>
      <c r="G42" s="2">
        <f>E42*F42</f>
        <v>0</v>
      </c>
    </row>
    <row r="43" spans="2:7" x14ac:dyDescent="0.25">
      <c r="B43" s="8" t="s">
        <v>33</v>
      </c>
      <c r="C43" s="4">
        <v>10477</v>
      </c>
      <c r="D43" s="4">
        <f>C43*30%</f>
        <v>3143.1</v>
      </c>
      <c r="E43" s="2">
        <f>C43-D43</f>
        <v>7333.9</v>
      </c>
      <c r="F43" s="3"/>
      <c r="G43" s="2">
        <f>E43*F43</f>
        <v>0</v>
      </c>
    </row>
    <row r="44" spans="2:7" x14ac:dyDescent="0.25">
      <c r="B44" s="8" t="s">
        <v>32</v>
      </c>
      <c r="C44" s="4">
        <v>10477</v>
      </c>
      <c r="D44" s="4">
        <f>C44*30%</f>
        <v>3143.1</v>
      </c>
      <c r="E44" s="2">
        <f>C44-D44</f>
        <v>7333.9</v>
      </c>
      <c r="F44" s="3"/>
      <c r="G44" s="2">
        <f>E44*F44</f>
        <v>0</v>
      </c>
    </row>
    <row r="45" spans="2:7" x14ac:dyDescent="0.25">
      <c r="B45" s="8" t="s">
        <v>31</v>
      </c>
      <c r="C45" s="4">
        <v>10477</v>
      </c>
      <c r="D45" s="4">
        <f>C45*30%</f>
        <v>3143.1</v>
      </c>
      <c r="E45" s="2">
        <f>C45-D45</f>
        <v>7333.9</v>
      </c>
      <c r="F45" s="3"/>
      <c r="G45" s="2">
        <f>E45*F45</f>
        <v>0</v>
      </c>
    </row>
    <row r="46" spans="2:7" x14ac:dyDescent="0.25">
      <c r="B46" s="7" t="s">
        <v>30</v>
      </c>
      <c r="C46" s="4">
        <v>13571</v>
      </c>
      <c r="D46" s="4">
        <f>C46*30%</f>
        <v>4071.2999999999997</v>
      </c>
      <c r="E46" s="2">
        <f>C46-D46</f>
        <v>9499.7000000000007</v>
      </c>
      <c r="F46" s="3"/>
      <c r="G46" s="2">
        <f>E46*F46</f>
        <v>0</v>
      </c>
    </row>
    <row r="47" spans="2:7" x14ac:dyDescent="0.25">
      <c r="B47" s="7" t="s">
        <v>29</v>
      </c>
      <c r="C47" s="4">
        <v>13571</v>
      </c>
      <c r="D47" s="4">
        <f>C47*30%</f>
        <v>4071.2999999999997</v>
      </c>
      <c r="E47" s="2">
        <f>C47-D47</f>
        <v>9499.7000000000007</v>
      </c>
      <c r="F47" s="3"/>
      <c r="G47" s="2">
        <f>E47*F47</f>
        <v>0</v>
      </c>
    </row>
    <row r="48" spans="2:7" x14ac:dyDescent="0.25">
      <c r="B48" s="7" t="s">
        <v>28</v>
      </c>
      <c r="C48" s="4">
        <v>13571</v>
      </c>
      <c r="D48" s="4">
        <f>C48*30%</f>
        <v>4071.2999999999997</v>
      </c>
      <c r="E48" s="2">
        <f>C48-D48</f>
        <v>9499.7000000000007</v>
      </c>
      <c r="F48" s="3"/>
      <c r="G48" s="2">
        <f>E48*F48</f>
        <v>0</v>
      </c>
    </row>
    <row r="49" spans="2:7" x14ac:dyDescent="0.25">
      <c r="B49" s="7" t="s">
        <v>27</v>
      </c>
      <c r="C49" s="4">
        <v>13571</v>
      </c>
      <c r="D49" s="4">
        <f>C49*30%</f>
        <v>4071.2999999999997</v>
      </c>
      <c r="E49" s="2">
        <f>C49-D49</f>
        <v>9499.7000000000007</v>
      </c>
      <c r="F49" s="3"/>
      <c r="G49" s="2">
        <f>E49*F49</f>
        <v>0</v>
      </c>
    </row>
    <row r="50" spans="2:7" x14ac:dyDescent="0.25">
      <c r="B50" s="7" t="s">
        <v>26</v>
      </c>
      <c r="C50" s="4">
        <v>13571</v>
      </c>
      <c r="D50" s="4">
        <f>C50*30%</f>
        <v>4071.2999999999997</v>
      </c>
      <c r="E50" s="2">
        <f>C50-D50</f>
        <v>9499.7000000000007</v>
      </c>
      <c r="F50" s="3"/>
      <c r="G50" s="2">
        <f>E50*F50</f>
        <v>0</v>
      </c>
    </row>
    <row r="51" spans="2:7" x14ac:dyDescent="0.25">
      <c r="B51" s="7" t="s">
        <v>25</v>
      </c>
      <c r="C51" s="4">
        <v>13571</v>
      </c>
      <c r="D51" s="4">
        <f>C51*30%</f>
        <v>4071.2999999999997</v>
      </c>
      <c r="E51" s="2">
        <f>C51-D51</f>
        <v>9499.7000000000007</v>
      </c>
      <c r="F51" s="3"/>
      <c r="G51" s="2">
        <f>E51*F51</f>
        <v>0</v>
      </c>
    </row>
    <row r="52" spans="2:7" x14ac:dyDescent="0.25">
      <c r="B52" s="7" t="s">
        <v>24</v>
      </c>
      <c r="C52" s="4">
        <v>13571</v>
      </c>
      <c r="D52" s="4">
        <f>C52*30%</f>
        <v>4071.2999999999997</v>
      </c>
      <c r="E52" s="2">
        <f>C52-D52</f>
        <v>9499.7000000000007</v>
      </c>
      <c r="F52" s="3"/>
      <c r="G52" s="2">
        <f>E52*F52</f>
        <v>0</v>
      </c>
    </row>
    <row r="53" spans="2:7" x14ac:dyDescent="0.25">
      <c r="B53" s="7" t="s">
        <v>23</v>
      </c>
      <c r="C53" s="4">
        <v>13571</v>
      </c>
      <c r="D53" s="4">
        <f>C53*30%</f>
        <v>4071.2999999999997</v>
      </c>
      <c r="E53" s="2">
        <f>C53-D53</f>
        <v>9499.7000000000007</v>
      </c>
      <c r="F53" s="3"/>
      <c r="G53" s="2">
        <f>E53*F53</f>
        <v>0</v>
      </c>
    </row>
    <row r="54" spans="2:7" x14ac:dyDescent="0.25">
      <c r="B54" s="7" t="s">
        <v>22</v>
      </c>
      <c r="C54" s="4">
        <v>13571</v>
      </c>
      <c r="D54" s="4">
        <f>C54*30%</f>
        <v>4071.2999999999997</v>
      </c>
      <c r="E54" s="2">
        <f>C54-D54</f>
        <v>9499.7000000000007</v>
      </c>
      <c r="F54" s="3"/>
      <c r="G54" s="2">
        <f>E54*F54</f>
        <v>0</v>
      </c>
    </row>
    <row r="55" spans="2:7" x14ac:dyDescent="0.25">
      <c r="B55" s="6" t="s">
        <v>21</v>
      </c>
      <c r="C55" s="4">
        <v>11227</v>
      </c>
      <c r="D55" s="4">
        <f>C55*30%</f>
        <v>3368.1</v>
      </c>
      <c r="E55" s="2">
        <f>C55-D55</f>
        <v>7858.9</v>
      </c>
      <c r="F55" s="3"/>
      <c r="G55" s="2">
        <f>E55*F55</f>
        <v>0</v>
      </c>
    </row>
    <row r="56" spans="2:7" x14ac:dyDescent="0.25">
      <c r="B56" s="6" t="s">
        <v>20</v>
      </c>
      <c r="C56" s="4">
        <v>11227</v>
      </c>
      <c r="D56" s="4">
        <f>C56*30%</f>
        <v>3368.1</v>
      </c>
      <c r="E56" s="2">
        <f>C56-D56</f>
        <v>7858.9</v>
      </c>
      <c r="F56" s="3"/>
      <c r="G56" s="2">
        <f>E56*F56</f>
        <v>0</v>
      </c>
    </row>
    <row r="57" spans="2:7" x14ac:dyDescent="0.25">
      <c r="B57" s="6" t="s">
        <v>19</v>
      </c>
      <c r="C57" s="4">
        <v>11227</v>
      </c>
      <c r="D57" s="4">
        <f>C57*30%</f>
        <v>3368.1</v>
      </c>
      <c r="E57" s="2">
        <f>C57-D57</f>
        <v>7858.9</v>
      </c>
      <c r="F57" s="3"/>
      <c r="G57" s="2">
        <f>E57*F57</f>
        <v>0</v>
      </c>
    </row>
    <row r="58" spans="2:7" x14ac:dyDescent="0.25">
      <c r="B58" s="6" t="s">
        <v>18</v>
      </c>
      <c r="C58" s="4">
        <v>11227</v>
      </c>
      <c r="D58" s="4">
        <f>C58*30%</f>
        <v>3368.1</v>
      </c>
      <c r="E58" s="2">
        <f>C58-D58</f>
        <v>7858.9</v>
      </c>
      <c r="F58" s="3"/>
      <c r="G58" s="2">
        <f>E58*F58</f>
        <v>0</v>
      </c>
    </row>
    <row r="59" spans="2:7" x14ac:dyDescent="0.25">
      <c r="B59" s="5" t="s">
        <v>17</v>
      </c>
      <c r="C59" s="4">
        <v>15130</v>
      </c>
      <c r="D59" s="4">
        <f>C59*30%</f>
        <v>4539</v>
      </c>
      <c r="E59" s="2">
        <f>C59-D59</f>
        <v>10591</v>
      </c>
      <c r="F59" s="3"/>
      <c r="G59" s="2">
        <f>E59*F59</f>
        <v>0</v>
      </c>
    </row>
    <row r="60" spans="2:7" x14ac:dyDescent="0.25">
      <c r="B60" s="5" t="s">
        <v>16</v>
      </c>
      <c r="C60" s="4">
        <v>14011</v>
      </c>
      <c r="D60" s="4">
        <f>C60*30%</f>
        <v>4203.3</v>
      </c>
      <c r="E60" s="2">
        <f>C60-D60</f>
        <v>9807.7000000000007</v>
      </c>
      <c r="F60" s="3"/>
      <c r="G60" s="2">
        <f>E60*F60</f>
        <v>0</v>
      </c>
    </row>
    <row r="61" spans="2:7" x14ac:dyDescent="0.25">
      <c r="B61" s="5" t="s">
        <v>15</v>
      </c>
      <c r="C61" s="4">
        <v>14178</v>
      </c>
      <c r="D61" s="4">
        <f>C61*30%</f>
        <v>4253.3999999999996</v>
      </c>
      <c r="E61" s="2">
        <f>C61-D61</f>
        <v>9924.6</v>
      </c>
      <c r="F61" s="3"/>
      <c r="G61" s="2">
        <f>E61*F61</f>
        <v>0</v>
      </c>
    </row>
    <row r="62" spans="2:7" x14ac:dyDescent="0.25">
      <c r="B62" s="5" t="s">
        <v>14</v>
      </c>
      <c r="C62" s="4">
        <v>13464</v>
      </c>
      <c r="D62" s="4">
        <f>C62*30%</f>
        <v>4039.2</v>
      </c>
      <c r="E62" s="2">
        <f>C62-D62</f>
        <v>9424.7999999999993</v>
      </c>
      <c r="F62" s="3"/>
      <c r="G62" s="2">
        <f>E62*F62</f>
        <v>0</v>
      </c>
    </row>
    <row r="63" spans="2:7" x14ac:dyDescent="0.25">
      <c r="B63" s="5" t="s">
        <v>13</v>
      </c>
      <c r="C63" s="4">
        <v>12155</v>
      </c>
      <c r="D63" s="4">
        <f>C63*30%</f>
        <v>3646.5</v>
      </c>
      <c r="E63" s="2">
        <f>C63-D63</f>
        <v>8508.5</v>
      </c>
      <c r="F63" s="3"/>
      <c r="G63" s="2">
        <f>E63*F63</f>
        <v>0</v>
      </c>
    </row>
    <row r="64" spans="2:7" x14ac:dyDescent="0.25">
      <c r="B64" s="5" t="s">
        <v>12</v>
      </c>
      <c r="C64" s="4">
        <v>14059</v>
      </c>
      <c r="D64" s="4">
        <f>C64*30%</f>
        <v>4217.7</v>
      </c>
      <c r="E64" s="2">
        <f>C64-D64</f>
        <v>9841.2999999999993</v>
      </c>
      <c r="F64" s="3"/>
      <c r="G64" s="2">
        <f>E64*F64</f>
        <v>0</v>
      </c>
    </row>
    <row r="65" spans="2:7" x14ac:dyDescent="0.25">
      <c r="B65" s="5" t="s">
        <v>11</v>
      </c>
      <c r="C65" s="4">
        <v>7036</v>
      </c>
      <c r="D65" s="4">
        <f>C65*30%</f>
        <v>2110.7999999999997</v>
      </c>
      <c r="E65" s="2">
        <f>C65-D65</f>
        <v>4925.2000000000007</v>
      </c>
      <c r="F65" s="3"/>
      <c r="G65" s="2">
        <f>E65*F65</f>
        <v>0</v>
      </c>
    </row>
    <row r="66" spans="2:7" x14ac:dyDescent="0.25">
      <c r="B66" s="5" t="s">
        <v>10</v>
      </c>
      <c r="C66" s="4">
        <v>15130</v>
      </c>
      <c r="D66" s="4">
        <f>C66*30%</f>
        <v>4539</v>
      </c>
      <c r="E66" s="2">
        <f>C66-D66</f>
        <v>10591</v>
      </c>
      <c r="F66" s="3"/>
      <c r="G66" s="2">
        <f>E66*F66</f>
        <v>0</v>
      </c>
    </row>
    <row r="67" spans="2:7" x14ac:dyDescent="0.25">
      <c r="B67" s="5" t="s">
        <v>9</v>
      </c>
      <c r="C67" s="4">
        <v>7036</v>
      </c>
      <c r="D67" s="4">
        <f>C67*30%</f>
        <v>2110.7999999999997</v>
      </c>
      <c r="E67" s="2">
        <f>C67-D67</f>
        <v>4925.2000000000007</v>
      </c>
      <c r="F67" s="3"/>
      <c r="G67" s="2">
        <f>E67*F67</f>
        <v>0</v>
      </c>
    </row>
    <row r="68" spans="2:7" x14ac:dyDescent="0.25">
      <c r="B68" s="5" t="s">
        <v>8</v>
      </c>
      <c r="C68" s="4">
        <v>13940</v>
      </c>
      <c r="D68" s="4">
        <f>C68*30%</f>
        <v>4182</v>
      </c>
      <c r="E68" s="2">
        <f>C68-D68</f>
        <v>9758</v>
      </c>
      <c r="F68" s="3"/>
      <c r="G68" s="2">
        <f>E68*F68</f>
        <v>0</v>
      </c>
    </row>
    <row r="69" spans="2:7" x14ac:dyDescent="0.25">
      <c r="B69" s="5" t="s">
        <v>7</v>
      </c>
      <c r="C69" s="4">
        <v>13821</v>
      </c>
      <c r="D69" s="4">
        <f>C69*30%</f>
        <v>4146.3</v>
      </c>
      <c r="E69" s="2">
        <f>C69-D69</f>
        <v>9674.7000000000007</v>
      </c>
      <c r="F69" s="3"/>
      <c r="G69" s="2">
        <f>E69*F69</f>
        <v>0</v>
      </c>
    </row>
    <row r="70" spans="2:7" x14ac:dyDescent="0.25">
      <c r="B70" s="5" t="s">
        <v>6</v>
      </c>
      <c r="C70" s="4">
        <v>13928</v>
      </c>
      <c r="D70" s="4">
        <f>C70*30%</f>
        <v>4178.3999999999996</v>
      </c>
      <c r="E70" s="2">
        <f>C70-D70</f>
        <v>9749.6</v>
      </c>
      <c r="F70" s="3"/>
      <c r="G70" s="2">
        <f>E70*F70</f>
        <v>0</v>
      </c>
    </row>
    <row r="71" spans="2:7" x14ac:dyDescent="0.25">
      <c r="B71" s="5" t="s">
        <v>5</v>
      </c>
      <c r="C71" s="4">
        <v>12714</v>
      </c>
      <c r="D71" s="4">
        <f>C71*30%</f>
        <v>3814.2</v>
      </c>
      <c r="E71" s="2">
        <f>C71-D71</f>
        <v>8899.7999999999993</v>
      </c>
      <c r="F71" s="3"/>
      <c r="G71" s="2">
        <f>E71*F71</f>
        <v>0</v>
      </c>
    </row>
    <row r="72" spans="2:7" x14ac:dyDescent="0.25">
      <c r="B72" s="5" t="s">
        <v>4</v>
      </c>
      <c r="C72" s="4">
        <v>21080</v>
      </c>
      <c r="D72" s="4">
        <f>C72*30%</f>
        <v>6324</v>
      </c>
      <c r="E72" s="2">
        <f>C72-D72</f>
        <v>14756</v>
      </c>
      <c r="F72" s="3"/>
      <c r="G72" s="2">
        <f>E72*F72</f>
        <v>0</v>
      </c>
    </row>
    <row r="73" spans="2:7" x14ac:dyDescent="0.25">
      <c r="B73" s="5" t="s">
        <v>3</v>
      </c>
      <c r="C73" s="4">
        <v>21080</v>
      </c>
      <c r="D73" s="4">
        <f>C73*30%</f>
        <v>6324</v>
      </c>
      <c r="E73" s="2">
        <f>C73-D73</f>
        <v>14756</v>
      </c>
      <c r="F73" s="3"/>
      <c r="G73" s="2">
        <f>E73*F73</f>
        <v>0</v>
      </c>
    </row>
    <row r="74" spans="2:7" x14ac:dyDescent="0.25">
      <c r="B74" s="5" t="s">
        <v>2</v>
      </c>
      <c r="C74" s="4">
        <v>17748</v>
      </c>
      <c r="D74" s="4">
        <f>C74*30%</f>
        <v>5324.4</v>
      </c>
      <c r="E74" s="2">
        <f>C74-D74</f>
        <v>12423.6</v>
      </c>
      <c r="F74" s="3"/>
      <c r="G74" s="2">
        <f>E74*F74</f>
        <v>0</v>
      </c>
    </row>
    <row r="75" spans="2:7" x14ac:dyDescent="0.25">
      <c r="B75" s="5" t="s">
        <v>1</v>
      </c>
      <c r="C75" s="4">
        <v>19890</v>
      </c>
      <c r="D75" s="4">
        <f>C75*30%</f>
        <v>5967</v>
      </c>
      <c r="E75" s="2">
        <f>C75-D75</f>
        <v>13923</v>
      </c>
      <c r="F75" s="3"/>
      <c r="G75" s="2">
        <f>E75*F75</f>
        <v>0</v>
      </c>
    </row>
    <row r="76" spans="2:7" x14ac:dyDescent="0.25">
      <c r="B76" s="5" t="s">
        <v>0</v>
      </c>
      <c r="C76" s="4">
        <v>12236</v>
      </c>
      <c r="D76" s="4">
        <f>C76*30%</f>
        <v>3670.7999999999997</v>
      </c>
      <c r="E76" s="2">
        <f>C76-D76</f>
        <v>8565.2000000000007</v>
      </c>
      <c r="F76" s="3"/>
      <c r="G76" s="2">
        <f>E76*F76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2026-09-01T16:28:28Z</dcterms:created>
  <dcterms:modified xsi:type="dcterms:W3CDTF">2026-09-01T16:29:04Z</dcterms:modified>
</cp:coreProperties>
</file>