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Precios Paradise 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3A60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1F3A60"/>
        <bgColor rgb="001F3A60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F3A6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5" fillId="0" borderId="2" pivotButton="0" quotePrefix="0" xfId="0"/>
    <xf numFmtId="164" fontId="5" fillId="0" borderId="2" pivotButton="0" quotePrefix="0" xfId="0"/>
    <xf numFmtId="165" fontId="5" fillId="0" borderId="2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71" customWidth="1" min="1" max="1"/>
    <col width="42" customWidth="1" min="2" max="2"/>
    <col width="27" customWidth="1" min="3" max="3"/>
    <col width="35" customWidth="1" min="4" max="4"/>
    <col width="29" customWidth="1" min="5" max="5"/>
    <col width="26" customWidth="1" min="6" max="6"/>
    <col width="19" customWidth="1" min="7" max="7"/>
  </cols>
  <sheetData>
    <row r="1">
      <c r="A1" s="1" t="inlineStr">
        <is>
          <t>PARADISE SHOP - MATRIZ DE PRECIOS Y MÁRGENES WEB</t>
        </is>
      </c>
    </row>
    <row r="2">
      <c r="A2" s="2" t="inlineStr">
        <is>
          <t>Estructura de Costos TEE.cl (Nivel Inicial) vs. Precios de Venta Web Propia</t>
        </is>
      </c>
    </row>
    <row r="3"/>
    <row r="4">
      <c r="A4" s="3" t="inlineStr">
        <is>
          <t>Categoría</t>
        </is>
      </c>
      <c r="B4" s="3" t="inlineStr">
        <is>
          <t>Producto / Artículo</t>
        </is>
      </c>
      <c r="C4" s="3" t="inlineStr">
        <is>
          <t>Costo Base TEE.cl (CLP)</t>
        </is>
      </c>
      <c r="D4" s="3" t="inlineStr">
        <is>
          <t>Precio Venta Web Sugerido (CLP)</t>
        </is>
      </c>
      <c r="E4" s="3" t="inlineStr">
        <is>
          <t>Comisión Pasarela (~3.8%)</t>
        </is>
      </c>
      <c r="F4" s="3" t="inlineStr">
        <is>
          <t>Ganancia Líquida (CLP)</t>
        </is>
      </c>
      <c r="G4" s="3" t="inlineStr">
        <is>
          <t>Margen Neto (%)</t>
        </is>
      </c>
    </row>
    <row r="5">
      <c r="A5" s="4" t="inlineStr">
        <is>
          <t>Polera</t>
        </is>
      </c>
      <c r="B5" s="5" t="inlineStr">
        <is>
          <t>Polera Polo - Cuello Redondo</t>
        </is>
      </c>
      <c r="C5" s="6" t="n">
        <v>17490</v>
      </c>
      <c r="D5" s="6" t="n">
        <v>25990</v>
      </c>
      <c r="E5" s="6">
        <f>ROUND(D5*0.038, 0)</f>
        <v/>
      </c>
      <c r="F5" s="6">
        <f>D5-C5-E5</f>
        <v/>
      </c>
      <c r="G5" s="7">
        <f>F5/D5</f>
        <v/>
      </c>
    </row>
    <row r="6">
      <c r="A6" s="8" t="inlineStr">
        <is>
          <t>Polera</t>
        </is>
      </c>
      <c r="B6" s="9" t="inlineStr">
        <is>
          <t>Polera Premium - Cuello Redondo</t>
        </is>
      </c>
      <c r="C6" s="10" t="n">
        <v>18490</v>
      </c>
      <c r="D6" s="10" t="n">
        <v>26990</v>
      </c>
      <c r="E6" s="10">
        <f>ROUND(D6*0.038, 0)</f>
        <v/>
      </c>
      <c r="F6" s="10">
        <f>D6-C6-E6</f>
        <v/>
      </c>
      <c r="G6" s="11">
        <f>F6/D6</f>
        <v/>
      </c>
    </row>
    <row r="7">
      <c r="A7" s="4" t="inlineStr">
        <is>
          <t>Polera</t>
        </is>
      </c>
      <c r="B7" s="5" t="inlineStr">
        <is>
          <t>Polera Oversize</t>
        </is>
      </c>
      <c r="C7" s="6" t="n">
        <v>16490</v>
      </c>
      <c r="D7" s="6" t="n">
        <v>23990</v>
      </c>
      <c r="E7" s="6">
        <f>ROUND(D7*0.038, 0)</f>
        <v/>
      </c>
      <c r="F7" s="6">
        <f>D7-C7-E7</f>
        <v/>
      </c>
      <c r="G7" s="7">
        <f>F7/D7</f>
        <v/>
      </c>
    </row>
    <row r="8">
      <c r="A8" s="8" t="inlineStr">
        <is>
          <t>Polera</t>
        </is>
      </c>
      <c r="B8" s="9" t="inlineStr">
        <is>
          <t>Polera Acid Wash</t>
        </is>
      </c>
      <c r="C8" s="10" t="n">
        <v>19490</v>
      </c>
      <c r="D8" s="10" t="n">
        <v>28990</v>
      </c>
      <c r="E8" s="10">
        <f>ROUND(D8*0.038, 0)</f>
        <v/>
      </c>
      <c r="F8" s="10">
        <f>D8-C8-E8</f>
        <v/>
      </c>
      <c r="G8" s="11">
        <f>F8/D8</f>
        <v/>
      </c>
    </row>
    <row r="9">
      <c r="A9" s="4" t="inlineStr">
        <is>
          <t>Polera</t>
        </is>
      </c>
      <c r="B9" s="5" t="inlineStr">
        <is>
          <t>Polera Mujer - Cuello Redondo</t>
        </is>
      </c>
      <c r="C9" s="6" t="n">
        <v>17490</v>
      </c>
      <c r="D9" s="6" t="n">
        <v>25990</v>
      </c>
      <c r="E9" s="6">
        <f>ROUND(D9*0.038, 0)</f>
        <v/>
      </c>
      <c r="F9" s="6">
        <f>D9-C9-E9</f>
        <v/>
      </c>
      <c r="G9" s="7">
        <f>F9/D9</f>
        <v/>
      </c>
    </row>
    <row r="10">
      <c r="A10" s="8" t="inlineStr">
        <is>
          <t>Polerón</t>
        </is>
      </c>
      <c r="B10" s="9" t="inlineStr">
        <is>
          <t>Polerón Canguro Básico</t>
        </is>
      </c>
      <c r="C10" s="10" t="n">
        <v>25990</v>
      </c>
      <c r="D10" s="10" t="n">
        <v>37990</v>
      </c>
      <c r="E10" s="10">
        <f>ROUND(D10*0.038, 0)</f>
        <v/>
      </c>
      <c r="F10" s="10">
        <f>D10-C10-E10</f>
        <v/>
      </c>
      <c r="G10" s="11">
        <f>F10/D10</f>
        <v/>
      </c>
    </row>
    <row r="11">
      <c r="A11" s="4" t="inlineStr">
        <is>
          <t>Polerón</t>
        </is>
      </c>
      <c r="B11" s="5" t="inlineStr">
        <is>
          <t>Polerón Canguro Premium</t>
        </is>
      </c>
      <c r="C11" s="6" t="n">
        <v>28990</v>
      </c>
      <c r="D11" s="6" t="n">
        <v>42990</v>
      </c>
      <c r="E11" s="6">
        <f>ROUND(D11*0.038, 0)</f>
        <v/>
      </c>
      <c r="F11" s="6">
        <f>D11-C11-E11</f>
        <v/>
      </c>
      <c r="G11" s="7">
        <f>F11/D11</f>
        <v/>
      </c>
    </row>
    <row r="12">
      <c r="A12" s="8" t="inlineStr">
        <is>
          <t>Polerón</t>
        </is>
      </c>
      <c r="B12" s="9" t="inlineStr">
        <is>
          <t>Polerón Canguro Acid Wash</t>
        </is>
      </c>
      <c r="C12" s="10" t="n">
        <v>30990</v>
      </c>
      <c r="D12" s="10" t="n">
        <v>45990</v>
      </c>
      <c r="E12" s="10">
        <f>ROUND(D12*0.038, 0)</f>
        <v/>
      </c>
      <c r="F12" s="10">
        <f>D12-C12-E12</f>
        <v/>
      </c>
      <c r="G12" s="11">
        <f>F12/D12</f>
        <v/>
      </c>
    </row>
    <row r="13">
      <c r="A13" s="4" t="inlineStr">
        <is>
          <t>Accesorio</t>
        </is>
      </c>
      <c r="B13" s="5" t="inlineStr">
        <is>
          <t>Gorro / Jockey / Dad Hat</t>
        </is>
      </c>
      <c r="C13" s="6" t="n">
        <v>9990</v>
      </c>
      <c r="D13" s="6" t="n">
        <v>14990</v>
      </c>
      <c r="E13" s="6">
        <f>ROUND(D13*0.038, 0)</f>
        <v/>
      </c>
      <c r="F13" s="6">
        <f>D13-C13-E13</f>
        <v/>
      </c>
      <c r="G13" s="7">
        <f>F13/D13</f>
        <v/>
      </c>
    </row>
    <row r="14">
      <c r="A14" s="8" t="inlineStr">
        <is>
          <t>Accesorio</t>
        </is>
      </c>
      <c r="B14" s="9" t="inlineStr">
        <is>
          <t>Tote Bag (Bolsa 100% Algodón)</t>
        </is>
      </c>
      <c r="C14" s="10" t="n">
        <v>15990</v>
      </c>
      <c r="D14" s="10" t="n">
        <v>23990</v>
      </c>
      <c r="E14" s="10">
        <f>ROUND(D14*0.038, 0)</f>
        <v/>
      </c>
      <c r="F14" s="10">
        <f>D14-C14-E14</f>
        <v/>
      </c>
      <c r="G14" s="11">
        <f>F14/D14</f>
        <v/>
      </c>
    </row>
    <row r="15">
      <c r="A15" s="4" t="inlineStr">
        <is>
          <t>Deco</t>
        </is>
      </c>
      <c r="B15" s="5" t="inlineStr">
        <is>
          <t>Cuadro Decorativo / Canvas</t>
        </is>
      </c>
      <c r="C15" s="6" t="n">
        <v>18990</v>
      </c>
      <c r="D15" s="6" t="n">
        <v>27990</v>
      </c>
      <c r="E15" s="6">
        <f>ROUND(D15*0.038, 0)</f>
        <v/>
      </c>
      <c r="F15" s="6">
        <f>D15-C15-E15</f>
        <v/>
      </c>
      <c r="G15" s="7">
        <f>F15/D15</f>
        <v/>
      </c>
    </row>
    <row r="16">
      <c r="A16" s="8" t="inlineStr">
        <is>
          <t>Accesorio</t>
        </is>
      </c>
      <c r="B16" s="9" t="inlineStr">
        <is>
          <t>Mouse Pad Gamer XL / Estándar</t>
        </is>
      </c>
      <c r="C16" s="10" t="n">
        <v>18990</v>
      </c>
      <c r="D16" s="10" t="n">
        <v>27990</v>
      </c>
      <c r="E16" s="10">
        <f>ROUND(D16*0.038, 0)</f>
        <v/>
      </c>
      <c r="F16" s="10">
        <f>D16-C16-E16</f>
        <v/>
      </c>
      <c r="G16" s="11">
        <f>F16/D16</f>
        <v/>
      </c>
    </row>
    <row r="17">
      <c r="A17" s="12" t="inlineStr">
        <is>
          <t>Accesorio</t>
        </is>
      </c>
      <c r="B17" s="13" t="inlineStr">
        <is>
          <t>Llavero Personalizado (PENDIENTE CONFIRMACIÓN TEE)</t>
        </is>
      </c>
      <c r="C17" s="14" t="inlineStr"/>
      <c r="D17" s="14" t="n">
        <v>6990</v>
      </c>
      <c r="E17" s="14">
        <f>ROUND(D17*0.038, 0)</f>
        <v/>
      </c>
      <c r="F17" s="15">
        <f>IF(C17&lt;&gt;"", D17-C17-E17, "POR CONFIRMAR")</f>
        <v/>
      </c>
      <c r="G17" s="12">
        <f>IF(C17&lt;&gt;"", F17/D17, "POR CONFIRMAR")</f>
        <v/>
      </c>
    </row>
    <row r="18"/>
    <row r="19">
      <c r="A19" s="16" t="inlineStr">
        <is>
          <t>PROMEDIO GENERAL</t>
        </is>
      </c>
      <c r="B19" s="17" t="n"/>
      <c r="C19" s="18">
        <f>AVERAGE(C5:C17)</f>
        <v/>
      </c>
      <c r="D19" s="18">
        <f>AVERAGE(D5:D17)</f>
        <v/>
      </c>
      <c r="E19" s="18">
        <f>AVERAGE(E5:E17)</f>
        <v/>
      </c>
      <c r="F19" s="18">
        <f>AVERAGE(F5:F16)</f>
        <v/>
      </c>
      <c r="G19" s="19">
        <f>AVERAGE(G5:G16)</f>
        <v/>
      </c>
    </row>
    <row r="20"/>
    <row r="21">
      <c r="A21" s="20" t="inlineStr">
        <is>
          <t>* Nota: La celda de costo base del Llavero Personalizado está destacada en amarillo lista para ingresar el valor de TEE.cl. Los márgenes se calcularán automáticamente.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2026-10-27T16:12:13Z</dcterms:created>
  <dcterms:modified xmlns:dcterms="http://purl.org/dc/terms/" xmlns:xsi="http://www.w3.org/2001/XMLSchema-instance" xsi:type="dcterms:W3CDTF">2026-10-27T16:12:13Z</dcterms:modified>
</cp:coreProperties>
</file>