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Precios Parad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165" fontId="4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3" customWidth="1" min="3" max="3"/>
    <col width="42" customWidth="1" min="4" max="4"/>
    <col width="29" customWidth="1" min="5" max="5"/>
    <col width="31" customWidth="1" min="6" max="6"/>
    <col width="47" customWidth="1" min="7" max="7"/>
    <col width="43" customWidth="1" min="8" max="8"/>
  </cols>
  <sheetData>
    <row r="1" ht="35" customHeight="1">
      <c r="A1" s="1" t="inlineStr">
        <is>
          <t>PARADISE SHOP.CL — MATRIZ DE PRECIOS Y ESTRATEGIA DE CATÁLOGO</t>
        </is>
      </c>
    </row>
    <row r="2" ht="20" customHeight="1">
      <c r="A2" s="2" t="inlineStr">
        <is>
          <t>Moneda: Pesos Chilenos (CLP) | Pasarela / Plataforma: 4,5% | Etiqueta Cuello Opción: $590 CLP | Estrategia Competitiva Chile</t>
        </is>
      </c>
    </row>
    <row r="3"/>
    <row r="4" ht="26" customHeight="1">
      <c r="A4" s="3" t="inlineStr">
        <is>
          <t>Producto / Categoría</t>
        </is>
      </c>
      <c r="B4" s="3" t="inlineStr">
        <is>
          <t>Costo Base TEE.CL ($)</t>
        </is>
      </c>
      <c r="C4" s="3" t="inlineStr">
        <is>
          <t>Etiqueta Cuello ($)</t>
        </is>
      </c>
      <c r="D4" s="3" t="inlineStr">
        <is>
          <t>Costo Total Base ($)</t>
        </is>
      </c>
      <c r="E4" s="3" t="inlineStr">
        <is>
          <t>Precio Venta Sugerido ($)</t>
        </is>
      </c>
      <c r="F4" s="3" t="inlineStr">
        <is>
          <t>Comisión Pasarela (4,5%)</t>
        </is>
      </c>
      <c r="G4" s="3" t="inlineStr">
        <is>
          <t>Ganancia Líquida ($)</t>
        </is>
      </c>
      <c r="H4" s="3" t="inlineStr">
        <is>
          <t>Margen Bruto (%)</t>
        </is>
      </c>
    </row>
    <row r="5" ht="22" customHeight="1">
      <c r="A5" s="4" t="inlineStr">
        <is>
          <t>Gorro / Jockey</t>
        </is>
      </c>
      <c r="B5" s="5" t="n">
        <v>11990</v>
      </c>
      <c r="C5" s="5" t="n">
        <v>0</v>
      </c>
      <c r="D5" s="5">
        <f>IF(OR(B5&lt;&gt;"", C5&lt;&gt;""), B5+C5, "")</f>
        <v/>
      </c>
      <c r="E5" s="5" t="n">
        <v>19990</v>
      </c>
      <c r="F5" s="5">
        <f>IF(E5&lt;&gt;"", E5*0.045, "")</f>
        <v/>
      </c>
      <c r="G5" s="5">
        <f>IF(AND(E5&lt;&gt;"", D5&lt;&gt;""), E5-D5-F5, "")</f>
        <v/>
      </c>
      <c r="H5" s="6">
        <f>IF(AND(E5&lt;&gt;"", G5&lt;&gt;""), G5/E5, "")</f>
        <v/>
      </c>
    </row>
    <row r="6" ht="22" customHeight="1">
      <c r="A6" s="7" t="inlineStr">
        <is>
          <t>Polera Estándar / Hombre</t>
        </is>
      </c>
      <c r="B6" s="8" t="n">
        <v>9990</v>
      </c>
      <c r="C6" s="8" t="n">
        <v>590</v>
      </c>
      <c r="D6" s="8">
        <f>IF(OR(B6&lt;&gt;"", C6&lt;&gt;""), B6+C6, "")</f>
        <v/>
      </c>
      <c r="E6" s="8" t="n">
        <v>17990</v>
      </c>
      <c r="F6" s="8">
        <f>IF(E6&lt;&gt;"", E6*0.045, "")</f>
        <v/>
      </c>
      <c r="G6" s="8">
        <f>IF(AND(E6&lt;&gt;"", D6&lt;&gt;""), E6-D6-F6, "")</f>
        <v/>
      </c>
      <c r="H6" s="9">
        <f>IF(AND(E6&lt;&gt;"", G6&lt;&gt;""), G6/E6, "")</f>
        <v/>
      </c>
    </row>
    <row r="7" ht="22" customHeight="1">
      <c r="A7" s="4" t="inlineStr">
        <is>
          <t>Polera Oversize XL</t>
        </is>
      </c>
      <c r="B7" s="5" t="n">
        <v>16490</v>
      </c>
      <c r="C7" s="5" t="n">
        <v>590</v>
      </c>
      <c r="D7" s="5">
        <f>IF(OR(B7&lt;&gt;"", C7&lt;&gt;""), B7+C7, "")</f>
        <v/>
      </c>
      <c r="E7" s="5" t="n">
        <v>26990</v>
      </c>
      <c r="F7" s="5">
        <f>IF(E7&lt;&gt;"", E7*0.045, "")</f>
        <v/>
      </c>
      <c r="G7" s="5">
        <f>IF(AND(E7&lt;&gt;"", D7&lt;&gt;""), E7-D7-F7, "")</f>
        <v/>
      </c>
      <c r="H7" s="6">
        <f>IF(AND(E7&lt;&gt;"", G7&lt;&gt;""), G7/E7, "")</f>
        <v/>
      </c>
    </row>
    <row r="8" ht="22" customHeight="1">
      <c r="A8" s="7" t="inlineStr">
        <is>
          <t>Polera Mujer Cuello Redondo</t>
        </is>
      </c>
      <c r="B8" s="8" t="n">
        <v>17490</v>
      </c>
      <c r="C8" s="8" t="n">
        <v>590</v>
      </c>
      <c r="D8" s="8">
        <f>IF(OR(B8&lt;&gt;"", C8&lt;&gt;""), B8+C8, "")</f>
        <v/>
      </c>
      <c r="E8" s="8" t="n">
        <v>26990</v>
      </c>
      <c r="F8" s="8">
        <f>IF(E8&lt;&gt;"", E8*0.045, "")</f>
        <v/>
      </c>
      <c r="G8" s="8">
        <f>IF(AND(E8&lt;&gt;"", D8&lt;&gt;""), E8-D8-F8, "")</f>
        <v/>
      </c>
      <c r="H8" s="9">
        <f>IF(AND(E8&lt;&gt;"", G8&lt;&gt;""), G8/E8, "")</f>
        <v/>
      </c>
    </row>
    <row r="9" ht="22" customHeight="1">
      <c r="A9" s="4" t="inlineStr">
        <is>
          <t>Polera Polo Cuello Redondo</t>
        </is>
      </c>
      <c r="B9" s="5" t="n">
        <v>19490</v>
      </c>
      <c r="C9" s="5" t="n">
        <v>590</v>
      </c>
      <c r="D9" s="5">
        <f>IF(OR(B9&lt;&gt;"", C9&lt;&gt;""), B9+C9, "")</f>
        <v/>
      </c>
      <c r="E9" s="5" t="n">
        <v>29990</v>
      </c>
      <c r="F9" s="5">
        <f>IF(E9&lt;&gt;"", E9*0.045, "")</f>
        <v/>
      </c>
      <c r="G9" s="5">
        <f>IF(AND(E9&lt;&gt;"", D9&lt;&gt;""), E9-D9-F9, "")</f>
        <v/>
      </c>
      <c r="H9" s="6">
        <f>IF(AND(E9&lt;&gt;"", G9&lt;&gt;""), G9/E9, "")</f>
        <v/>
      </c>
    </row>
    <row r="10" ht="22" customHeight="1">
      <c r="A10" s="7" t="inlineStr">
        <is>
          <t>Polerón Intermedio</t>
        </is>
      </c>
      <c r="B10" s="8" t="n">
        <v>20990</v>
      </c>
      <c r="C10" s="8" t="n">
        <v>590</v>
      </c>
      <c r="D10" s="8">
        <f>IF(OR(B10&lt;&gt;"", C10&lt;&gt;""), B10+C10, "")</f>
        <v/>
      </c>
      <c r="E10" s="8" t="n">
        <v>31990</v>
      </c>
      <c r="F10" s="8">
        <f>IF(E10&lt;&gt;"", E10*0.045, "")</f>
        <v/>
      </c>
      <c r="G10" s="8">
        <f>IF(AND(E10&lt;&gt;"", D10&lt;&gt;""), E10-D10-F10, "")</f>
        <v/>
      </c>
      <c r="H10" s="9">
        <f>IF(AND(E10&lt;&gt;"", G10&lt;&gt;""), G10/E10, "")</f>
        <v/>
      </c>
    </row>
    <row r="11" ht="22" customHeight="1">
      <c r="A11" s="4" t="inlineStr">
        <is>
          <t>Polerón Canguro Premium</t>
        </is>
      </c>
      <c r="B11" s="5" t="n">
        <v>28990</v>
      </c>
      <c r="C11" s="5" t="n">
        <v>590</v>
      </c>
      <c r="D11" s="5">
        <f>IF(OR(B11&lt;&gt;"", C11&lt;&gt;""), B11+C11, "")</f>
        <v/>
      </c>
      <c r="E11" s="5" t="n">
        <v>39990</v>
      </c>
      <c r="F11" s="5">
        <f>IF(E11&lt;&gt;"", E11*0.045, "")</f>
        <v/>
      </c>
      <c r="G11" s="5">
        <f>IF(AND(E11&lt;&gt;"", D11&lt;&gt;""), E11-D11-F11, "")</f>
        <v/>
      </c>
      <c r="H11" s="6">
        <f>IF(AND(E11&lt;&gt;"", G11&lt;&gt;""), G11/E11, "")</f>
        <v/>
      </c>
    </row>
    <row r="12" ht="22" customHeight="1">
      <c r="A12" s="7" t="inlineStr">
        <is>
          <t>Totebag</t>
        </is>
      </c>
      <c r="B12" s="8" t="n">
        <v>15990</v>
      </c>
      <c r="C12" s="8" t="n">
        <v>0</v>
      </c>
      <c r="D12" s="8">
        <f>IF(OR(B12&lt;&gt;"", C12&lt;&gt;""), B12+C12, "")</f>
        <v/>
      </c>
      <c r="E12" s="8" t="n">
        <v>24990</v>
      </c>
      <c r="F12" s="8">
        <f>IF(E12&lt;&gt;"", E12*0.045, "")</f>
        <v/>
      </c>
      <c r="G12" s="8">
        <f>IF(AND(E12&lt;&gt;"", D12&lt;&gt;""), E12-D12-F12, "")</f>
        <v/>
      </c>
      <c r="H12" s="9">
        <f>IF(AND(E12&lt;&gt;"", G12&lt;&gt;""), G12/E12, "")</f>
        <v/>
      </c>
    </row>
    <row r="13" ht="22" customHeight="1">
      <c r="A13" s="4" t="inlineStr">
        <is>
          <t>Cuadro Decorativo</t>
        </is>
      </c>
      <c r="B13" s="5" t="n">
        <v>18990</v>
      </c>
      <c r="C13" s="5" t="n">
        <v>0</v>
      </c>
      <c r="D13" s="5">
        <f>IF(OR(B13&lt;&gt;"", C13&lt;&gt;""), B13+C13, "")</f>
        <v/>
      </c>
      <c r="E13" s="5" t="n">
        <v>28990</v>
      </c>
      <c r="F13" s="5">
        <f>IF(E13&lt;&gt;"", E13*0.045, "")</f>
        <v/>
      </c>
      <c r="G13" s="5">
        <f>IF(AND(E13&lt;&gt;"", D13&lt;&gt;""), E13-D13-F13, "")</f>
        <v/>
      </c>
      <c r="H13" s="6">
        <f>IF(AND(E13&lt;&gt;"", G13&lt;&gt;""), G13/E13, "")</f>
        <v/>
      </c>
    </row>
    <row r="14" ht="22" customHeight="1">
      <c r="A14" s="7" t="inlineStr">
        <is>
          <t>Mouse Pad</t>
        </is>
      </c>
      <c r="B14" s="8" t="n">
        <v>18990</v>
      </c>
      <c r="C14" s="8" t="n">
        <v>0</v>
      </c>
      <c r="D14" s="8">
        <f>IF(OR(B14&lt;&gt;"", C14&lt;&gt;""), B14+C14, "")</f>
        <v/>
      </c>
      <c r="E14" s="8" t="n">
        <v>28990</v>
      </c>
      <c r="F14" s="8">
        <f>IF(E14&lt;&gt;"", E14*0.045, "")</f>
        <v/>
      </c>
      <c r="G14" s="8">
        <f>IF(AND(E14&lt;&gt;"", D14&lt;&gt;""), E14-D14-F14, "")</f>
        <v/>
      </c>
      <c r="H14" s="9">
        <f>IF(AND(E14&lt;&gt;"", G14&lt;&gt;""), G14/E14, "")</f>
        <v/>
      </c>
    </row>
    <row r="15" ht="25" customHeight="1">
      <c r="A15" s="10" t="inlineStr">
        <is>
          <t>PROMEDIO CATÁLOGO</t>
        </is>
      </c>
      <c r="B15" s="11">
        <f>AVERAGE(B5:B14)</f>
        <v/>
      </c>
      <c r="C15" s="11">
        <f>AVERAGE(C5:C14)</f>
        <v/>
      </c>
      <c r="D15" s="11">
        <f>AVERAGE(D5:D14)</f>
        <v/>
      </c>
      <c r="E15" s="11">
        <f>AVERAGE(E5:E14)</f>
        <v/>
      </c>
      <c r="F15" s="11">
        <f>AVERAGE(F5:F14)</f>
        <v/>
      </c>
      <c r="G15" s="11">
        <f>AVERAGE(G5:G14)</f>
        <v/>
      </c>
      <c r="H15" s="12">
        <f>AVERAGE(H5:H14)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2026-10-19T15:00:35Z</dcterms:created>
  <dcterms:modified xmlns:dcterms="http://purl.org/dc/terms/" xmlns:xsi="http://www.w3.org/2001/XMLSchema-instance" xsi:type="dcterms:W3CDTF">2026-10-19T15:00:35Z</dcterms:modified>
</cp:coreProperties>
</file>